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Projects\Project 2 - Kyle Trafficking\"/>
    </mc:Choice>
  </mc:AlternateContent>
  <xr:revisionPtr revIDLastSave="0" documentId="13_ncr:1_{6E866832-F0EB-4AE8-BEC9-3A2FEAF09F2F}" xr6:coauthVersionLast="47" xr6:coauthVersionMax="47" xr10:uidLastSave="{00000000-0000-0000-0000-000000000000}"/>
  <bookViews>
    <workbookView xWindow="-110" yWindow="-110" windowWidth="19420" windowHeight="10560" tabRatio="646" activeTab="1" xr2:uid="{00000000-000D-0000-FFFF-FFFF00000000}"/>
  </bookViews>
  <sheets>
    <sheet name="Bus Matrix" sheetId="2" r:id="rId1"/>
    <sheet name="All Dims Info" sheetId="25" r:id="rId2"/>
    <sheet name="Snowflake Dimensions" sheetId="29" r:id="rId3"/>
    <sheet name="Fact_Incident" sheetId="17" r:id="rId4"/>
    <sheet name="Fact_FinancialTransaction" sheetId="16" r:id="rId5"/>
    <sheet name="Fact_HotlineResponse" sheetId="14" r:id="rId6"/>
    <sheet name="Fact_Intervention" sheetId="11" r:id="rId7"/>
    <sheet name="DimCase" sheetId="30" r:id="rId8"/>
    <sheet name="DimTransaction" sheetId="15" r:id="rId9"/>
    <sheet name="DimVictim" sheetId="5" r:id="rId10"/>
    <sheet name="DimTrafficker" sheetId="6" r:id="rId11"/>
    <sheet name="DimLocation" sheetId="4" r:id="rId12"/>
    <sheet name="DimOperation" sheetId="8" r:id="rId13"/>
    <sheet name="DimHotLine" sheetId="22" r:id="rId14"/>
    <sheet name="DimDateTime" sheetId="3" r:id="rId15"/>
    <sheet name="DimAgency" sheetId="21" r:id="rId16"/>
    <sheet name="DimTransportationType" sheetId="19" r:id="rId17"/>
    <sheet name="DimRecruitmentType" sheetId="18" r:id="rId18"/>
    <sheet name="DimExploitationType" sheetId="20" r:id="rId19"/>
    <sheet name="R&amp;D" sheetId="2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6" l="1"/>
</calcChain>
</file>

<file path=xl/sharedStrings.xml><?xml version="1.0" encoding="utf-8"?>
<sst xmlns="http://schemas.openxmlformats.org/spreadsheetml/2006/main" count="1358" uniqueCount="489">
  <si>
    <t>Fact_Incident</t>
  </si>
  <si>
    <t>Fact_Intervention</t>
  </si>
  <si>
    <t>Fact_FinancialTransaction</t>
  </si>
  <si>
    <t>Fact_HotlineResponse</t>
  </si>
  <si>
    <t>DimDateTime</t>
  </si>
  <si>
    <t>DimLocation</t>
  </si>
  <si>
    <t>DimVictim</t>
  </si>
  <si>
    <t>DimTrafficker</t>
  </si>
  <si>
    <t>Facts</t>
  </si>
  <si>
    <t>Description</t>
  </si>
  <si>
    <t>X</t>
  </si>
  <si>
    <t>Column Name</t>
  </si>
  <si>
    <t>Display Name</t>
  </si>
  <si>
    <t>Datatype</t>
  </si>
  <si>
    <t>Default Value</t>
  </si>
  <si>
    <t>Example Values</t>
  </si>
  <si>
    <t>SCD Type</t>
  </si>
  <si>
    <t>Source System</t>
  </si>
  <si>
    <t>ETL Rules</t>
  </si>
  <si>
    <t>Surrogate key in YYYYMMDD format</t>
  </si>
  <si>
    <t>INT</t>
  </si>
  <si>
    <t>PK</t>
  </si>
  <si>
    <t>NO</t>
  </si>
  <si>
    <t>N/A</t>
  </si>
  <si>
    <t>Derived from FullDate</t>
  </si>
  <si>
    <t>FullDate</t>
  </si>
  <si>
    <t>Full Date</t>
  </si>
  <si>
    <t>Full calendar date</t>
  </si>
  <si>
    <t>DATE</t>
  </si>
  <si>
    <t>DayOfMonth</t>
  </si>
  <si>
    <t>Day of Month</t>
  </si>
  <si>
    <t>Derived</t>
  </si>
  <si>
    <t>DayOfWeek</t>
  </si>
  <si>
    <t>Day of Week</t>
  </si>
  <si>
    <t>DayName</t>
  </si>
  <si>
    <t>Day Name</t>
  </si>
  <si>
    <t>Name of the day</t>
  </si>
  <si>
    <t>Wednesday</t>
  </si>
  <si>
    <t>IsWeekend</t>
  </si>
  <si>
    <t>Is Weekend?</t>
  </si>
  <si>
    <t>Indicates if the day falls on weekend</t>
  </si>
  <si>
    <t>BOOLEAN</t>
  </si>
  <si>
    <t>TRUE/FALSE</t>
  </si>
  <si>
    <t>WeekOfYear</t>
  </si>
  <si>
    <t>Week of Year</t>
  </si>
  <si>
    <t>Month</t>
  </si>
  <si>
    <t>Month Number</t>
  </si>
  <si>
    <t>MonthName</t>
  </si>
  <si>
    <t>Month Name</t>
  </si>
  <si>
    <t>Month as full name</t>
  </si>
  <si>
    <t>May</t>
  </si>
  <si>
    <t>Quarter</t>
  </si>
  <si>
    <t>Year</t>
  </si>
  <si>
    <t>Four-digit calendar year</t>
  </si>
  <si>
    <t>NULL</t>
  </si>
  <si>
    <t>Calender</t>
  </si>
  <si>
    <t>Calendar quarter</t>
  </si>
  <si>
    <t>Day of the month</t>
  </si>
  <si>
    <t>Numeric day of week</t>
  </si>
  <si>
    <t xml:space="preserve">Week number in the year </t>
  </si>
  <si>
    <t>Month as a number</t>
  </si>
  <si>
    <t>Key?</t>
  </si>
  <si>
    <t>NULL?</t>
  </si>
  <si>
    <t>No</t>
  </si>
  <si>
    <t>Auto Increment</t>
  </si>
  <si>
    <t>Address</t>
  </si>
  <si>
    <t>Specific address where incident occurred</t>
  </si>
  <si>
    <t>VARCHAR(255)</t>
  </si>
  <si>
    <t>Yes</t>
  </si>
  <si>
    <t>District</t>
  </si>
  <si>
    <t>Province</t>
  </si>
  <si>
    <t>Country</t>
  </si>
  <si>
    <t>Country name</t>
  </si>
  <si>
    <t>UrbanRural</t>
  </si>
  <si>
    <t>Urban/Rural</t>
  </si>
  <si>
    <t>Indicates if the location is urban or rural</t>
  </si>
  <si>
    <t>Latitude</t>
  </si>
  <si>
    <t>Geographical coordinate - latitude</t>
  </si>
  <si>
    <t>DECIMAL(9,6)</t>
  </si>
  <si>
    <t>Longitude</t>
  </si>
  <si>
    <t>Geographical coordinate - longitude</t>
  </si>
  <si>
    <t>col('RawAddress')</t>
  </si>
  <si>
    <t>District or county name</t>
  </si>
  <si>
    <t>parse_district(col('Address'))</t>
  </si>
  <si>
    <t>State</t>
  </si>
  <si>
    <t>State or province of the location</t>
  </si>
  <si>
    <t>Case Reports, Hotline Logs</t>
  </si>
  <si>
    <t>parse_state(col('Address'))</t>
  </si>
  <si>
    <t>standardize_country(col('Country'))</t>
  </si>
  <si>
    <t>Geospatial System, GIS API</t>
  </si>
  <si>
    <t>derive_urban_rural(col('Address'))</t>
  </si>
  <si>
    <t>geocode_latitude(col('Address'))</t>
  </si>
  <si>
    <t>geocode_longitude(col('Address'))</t>
  </si>
  <si>
    <t>GIS, Google Map</t>
  </si>
  <si>
    <t>VictimID</t>
  </si>
  <si>
    <t>Auto-increment or surrogate key generator</t>
  </si>
  <si>
    <t>Name</t>
  </si>
  <si>
    <t>Full Name</t>
  </si>
  <si>
    <t>Victim's full name</t>
  </si>
  <si>
    <t>Maria Gonzalez</t>
  </si>
  <si>
    <t>Case Report</t>
  </si>
  <si>
    <t>col('Name')</t>
  </si>
  <si>
    <t>Age</t>
  </si>
  <si>
    <t>Age at time of discovery or reporting</t>
  </si>
  <si>
    <t>col('Age')</t>
  </si>
  <si>
    <t>PhoneNumber</t>
  </si>
  <si>
    <t>Contact Number</t>
  </si>
  <si>
    <t>Victim’s phone number (if reported)</t>
  </si>
  <si>
    <t>Hotline Reports</t>
  </si>
  <si>
    <t>standardize_phone(col('PhoneNumber'))</t>
  </si>
  <si>
    <t>DOB</t>
  </si>
  <si>
    <t>Date of Birth</t>
  </si>
  <si>
    <t>Date of birth of the victim</t>
  </si>
  <si>
    <t>col('DOB')</t>
  </si>
  <si>
    <t>RaceEthnicity</t>
  </si>
  <si>
    <t>Race/Ethnicity</t>
  </si>
  <si>
    <t>Self-identified or recorded race/ethnic group</t>
  </si>
  <si>
    <t>Hispanic</t>
  </si>
  <si>
    <t>col('RaceEthnicity')</t>
  </si>
  <si>
    <t>MaritalStatus</t>
  </si>
  <si>
    <t>Marital Status</t>
  </si>
  <si>
    <t>Marital status at time of reporting</t>
  </si>
  <si>
    <t>Case Report / TBD</t>
  </si>
  <si>
    <t>col('MaritalStatus')</t>
  </si>
  <si>
    <t>Gender</t>
  </si>
  <si>
    <t>Gender identity of the victim</t>
  </si>
  <si>
    <t>Female</t>
  </si>
  <si>
    <t>col('Gender')</t>
  </si>
  <si>
    <t>Nationality</t>
  </si>
  <si>
    <t>Nationality according to ID/passport records</t>
  </si>
  <si>
    <t>Mexican</t>
  </si>
  <si>
    <t>Passport Records</t>
  </si>
  <si>
    <t>col('Nationality')</t>
  </si>
  <si>
    <t>FK</t>
  </si>
  <si>
    <t>Case Files</t>
  </si>
  <si>
    <t>Auto-increment</t>
  </si>
  <si>
    <t>Government Records</t>
  </si>
  <si>
    <t>TraffickerID</t>
  </si>
  <si>
    <t>Unique surrogate key for each trafficker</t>
  </si>
  <si>
    <t>Trafficker’s full legal name</t>
  </si>
  <si>
    <t>John Smith</t>
  </si>
  <si>
    <t>Alias</t>
  </si>
  <si>
    <t>Alias/Nickname</t>
  </si>
  <si>
    <t>El Toro</t>
  </si>
  <si>
    <t>Arrest Records</t>
  </si>
  <si>
    <t>parsed_alias(col('Alias'))</t>
  </si>
  <si>
    <t>Gender identity of the trafficker</t>
  </si>
  <si>
    <t>Male</t>
  </si>
  <si>
    <t>Age at time of arrest or record</t>
  </si>
  <si>
    <t>NationalID</t>
  </si>
  <si>
    <t>sha256(col('NationalID'))</t>
  </si>
  <si>
    <t>Role</t>
  </si>
  <si>
    <t>Role of the trafficker in trafficking network</t>
  </si>
  <si>
    <t>Transporter</t>
  </si>
  <si>
    <t>col('Role')</t>
  </si>
  <si>
    <t>Affiliation</t>
  </si>
  <si>
    <t>Group Affiliation</t>
  </si>
  <si>
    <t>El Norte Cartel</t>
  </si>
  <si>
    <t>col('Affiliation')</t>
  </si>
  <si>
    <t>Trafficker’s nationality</t>
  </si>
  <si>
    <t>American</t>
  </si>
  <si>
    <t>White/Caucasian</t>
  </si>
  <si>
    <t>Date of birth</t>
  </si>
  <si>
    <t>Contact or phone number from call detail records</t>
  </si>
  <si>
    <t>Call Detail Records</t>
  </si>
  <si>
    <t>Arrest Forms</t>
  </si>
  <si>
    <t xml:space="preserve">Known Street Name </t>
  </si>
  <si>
    <t>Trafficking group/gang e.g mafia, cartel, gang</t>
  </si>
  <si>
    <t>Recorded Race and Ethnicity Background of Trafficker</t>
  </si>
  <si>
    <t>TransportationMode</t>
  </si>
  <si>
    <t>Transportation Mode</t>
  </si>
  <si>
    <t>ExploitationType</t>
  </si>
  <si>
    <t>Unique identifier for each intervention</t>
  </si>
  <si>
    <t>InterventionType</t>
  </si>
  <si>
    <t>Intervention Type</t>
  </si>
  <si>
    <t>Type of intervention conducted</t>
  </si>
  <si>
    <t>Rescue operation, Policy change</t>
  </si>
  <si>
    <t>Operation Logs, NGO Reports</t>
  </si>
  <si>
    <t>col('InterventionType')</t>
  </si>
  <si>
    <t>InterventionSubtype</t>
  </si>
  <si>
    <t>Intervention Subtype</t>
  </si>
  <si>
    <t>Specific subtype or tactic of the intervention</t>
  </si>
  <si>
    <t>Brothel raid, Border interception</t>
  </si>
  <si>
    <t>Field Reports</t>
  </si>
  <si>
    <t>col('InterventionSubtype')</t>
  </si>
  <si>
    <t>OperationName</t>
  </si>
  <si>
    <t>Operation Name</t>
  </si>
  <si>
    <t>Codename or label of the operation</t>
  </si>
  <si>
    <t>Operation Cross Country</t>
  </si>
  <si>
    <t>Agency Archives</t>
  </si>
  <si>
    <t>col('OperationName')</t>
  </si>
  <si>
    <t>OperationDuration</t>
  </si>
  <si>
    <t>Operation Duration</t>
  </si>
  <si>
    <t>Duration of the intervention (in hours or days)</t>
  </si>
  <si>
    <t>48 hours, 5 days</t>
  </si>
  <si>
    <t>col('Duration')</t>
  </si>
  <si>
    <t>lookup_location(col('Location'))</t>
  </si>
  <si>
    <t>ConvictionStatus</t>
  </si>
  <si>
    <t>Conviction Status</t>
  </si>
  <si>
    <t>Whether the Criminal have been found Guilty or not</t>
  </si>
  <si>
    <t>col('Conviction Status')</t>
  </si>
  <si>
    <t>CallDuration</t>
  </si>
  <si>
    <t>Call Duration</t>
  </si>
  <si>
    <t>Duration of the call in seconds or minutes</t>
  </si>
  <si>
    <t>300 (5 minutes)</t>
  </si>
  <si>
    <t>col('CallDuration')</t>
  </si>
  <si>
    <t>ResponseTime</t>
  </si>
  <si>
    <t>Response Time</t>
  </si>
  <si>
    <t>Time taken to answer the call (in seconds)</t>
  </si>
  <si>
    <t>col('ResponseTime')</t>
  </si>
  <si>
    <t>National ID</t>
  </si>
  <si>
    <t>123-45-6789</t>
  </si>
  <si>
    <t>Passport Records, Case Reports</t>
  </si>
  <si>
    <t>Official government-issued ID of the trafficker (natural key)</t>
  </si>
  <si>
    <t>Unique key for the victim</t>
  </si>
  <si>
    <t>Unmarried</t>
  </si>
  <si>
    <t>1-555-123-4567</t>
  </si>
  <si>
    <t>Official government-issued ID of the victim (Will be Used as natural key)</t>
  </si>
  <si>
    <t>lookup_date(col('Date'))</t>
  </si>
  <si>
    <t>Fk</t>
  </si>
  <si>
    <t>Pk</t>
  </si>
  <si>
    <t>Auto-generate unique keys</t>
  </si>
  <si>
    <t>FK to DimDateTime dimension (date/time of intervention)</t>
  </si>
  <si>
    <t>Date/Time System</t>
  </si>
  <si>
    <t>FK to DimLocation dimension (where intervention occurred)</t>
  </si>
  <si>
    <t>Location System</t>
  </si>
  <si>
    <t>FK to DimIntervention dimension (type of intervention)</t>
  </si>
  <si>
    <t>Date/Time Dimension</t>
  </si>
  <si>
    <t>Location Dimension</t>
  </si>
  <si>
    <t>Surrogate key for each hotline response fact</t>
  </si>
  <si>
    <t>FK to DimDateTime (timestamp of the hotline response)</t>
  </si>
  <si>
    <t>FK to DimLocation (where the hotline call was handled)</t>
  </si>
  <si>
    <t>FK to DimHotline (which hotline was called)</t>
  </si>
  <si>
    <t>Hotline Call Logs</t>
  </si>
  <si>
    <t>Data Type</t>
  </si>
  <si>
    <t>Example Value</t>
  </si>
  <si>
    <t>Surrogate primary key</t>
  </si>
  <si>
    <t>Auto-increment / surrogate key generator</t>
  </si>
  <si>
    <t>TransactionType</t>
  </si>
  <si>
    <t>Transaction Type</t>
  </si>
  <si>
    <t>Purpose of transaction (e.g., recruitment, bribe, laundering)</t>
  </si>
  <si>
    <t>Case Reports, Arrest Records</t>
  </si>
  <si>
    <t>col('TransactionType')</t>
  </si>
  <si>
    <t>PaymentMethod</t>
  </si>
  <si>
    <t>Payment Method</t>
  </si>
  <si>
    <t>Mode of money transfer</t>
  </si>
  <si>
    <t>Financial Intelligence</t>
  </si>
  <si>
    <t>col('PaymentMethod')</t>
  </si>
  <si>
    <t>Amount</t>
  </si>
  <si>
    <t>Transaction value in local currency</t>
  </si>
  <si>
    <t>Bank Statements</t>
  </si>
  <si>
    <t>col('Amount')</t>
  </si>
  <si>
    <t>Currency</t>
  </si>
  <si>
    <t>ISO code for currency</t>
  </si>
  <si>
    <t>Bank Statements, CDRs</t>
  </si>
  <si>
    <t>col('Currency')</t>
  </si>
  <si>
    <t>BankName</t>
  </si>
  <si>
    <t>Bank Name</t>
  </si>
  <si>
    <t>Name of bank involved (if any)</t>
  </si>
  <si>
    <t>Bank Records</t>
  </si>
  <si>
    <t>col('BankName')</t>
  </si>
  <si>
    <t>CryptoWallet</t>
  </si>
  <si>
    <t>Crypto Wallet Address</t>
  </si>
  <si>
    <t>Blockchain wallet address used in transaction</t>
  </si>
  <si>
    <t>PaymentPlatform</t>
  </si>
  <si>
    <t>Payment Platform</t>
  </si>
  <si>
    <t>Digital platform used (e.g., PayPal, Venmo)</t>
  </si>
  <si>
    <t>col('PaymentPlatform')</t>
  </si>
  <si>
    <t>Digital Forensics</t>
  </si>
  <si>
    <t>sha256(col('WalletAddress'))</t>
  </si>
  <si>
    <t>Captures Finances Involved: Date &amp; Time of Transaction, Finances Involved</t>
  </si>
  <si>
    <t>Auto-increment / surrogate key</t>
  </si>
  <si>
    <t>lookup_finance(col('TransactionID'))</t>
  </si>
  <si>
    <t>Foreign key to DimDate (transaction date)</t>
  </si>
  <si>
    <t>Foreign key to DimLocation</t>
  </si>
  <si>
    <t>Foreign key to DimTrafficker</t>
  </si>
  <si>
    <t>Surrogate primary key for the fact table</t>
  </si>
  <si>
    <t>Foreign key to DimDate (when incident occurred or was reported)</t>
  </si>
  <si>
    <t>Case Reports</t>
  </si>
  <si>
    <t>Foreign key to DimLocation (where incident occurred)</t>
  </si>
  <si>
    <t>Investigations</t>
  </si>
  <si>
    <t>Foreign key to DimVictim</t>
  </si>
  <si>
    <t>lookup_victim(col('VictimID'))</t>
  </si>
  <si>
    <t>lookup_trafficker(col('TraffickerID'))</t>
  </si>
  <si>
    <t>Law Enforcement Logs</t>
  </si>
  <si>
    <t>Trafficker Dimension</t>
  </si>
  <si>
    <t>TransactionID</t>
  </si>
  <si>
    <t>TransactionFactID</t>
  </si>
  <si>
    <t>DateID</t>
  </si>
  <si>
    <t>LocationID</t>
  </si>
  <si>
    <t>IncidentDate</t>
  </si>
  <si>
    <t>IncidentFactID</t>
  </si>
  <si>
    <t>DateTimeID</t>
  </si>
  <si>
    <t>lookup_Hotline(col('HotlineID'))</t>
  </si>
  <si>
    <t>HotlineResponseID</t>
  </si>
  <si>
    <t>HotlineID</t>
  </si>
  <si>
    <t>InterventionTypeID</t>
  </si>
  <si>
    <t>ZipCode</t>
  </si>
  <si>
    <t>Zipcode</t>
  </si>
  <si>
    <t>Stores the ZipCode of the Location</t>
  </si>
  <si>
    <t>Postal Services</t>
  </si>
  <si>
    <t>parse_zipcode(col('RawAddress'))</t>
  </si>
  <si>
    <t>RecruitmentTypeName</t>
  </si>
  <si>
    <t>Type of recruitment method</t>
  </si>
  <si>
    <t>VARCHAR(100)</t>
  </si>
  <si>
    <t>Job Offer</t>
  </si>
  <si>
    <t>Detailed explanation of how the recruitment was performed</t>
  </si>
  <si>
    <t>TEXT</t>
  </si>
  <si>
    <t>Promised overseas job</t>
  </si>
  <si>
    <t>Case Reports, Interviews</t>
  </si>
  <si>
    <t>col('description')</t>
  </si>
  <si>
    <t>General type of transport (Air, Land, Sea)</t>
  </si>
  <si>
    <t>VARCHAR(50)</t>
  </si>
  <si>
    <t>Land</t>
  </si>
  <si>
    <t>Case Reports, Surveillance</t>
  </si>
  <si>
    <t>standardize(col('transportation_mode'))</t>
  </si>
  <si>
    <t>TransportationMethod</t>
  </si>
  <si>
    <t>Transportation Method</t>
  </si>
  <si>
    <t>Specific method (e.g., Car, Truck, Plane, Boat)</t>
  </si>
  <si>
    <t>Truck</t>
  </si>
  <si>
    <t>Case Reports, Border Logs</t>
  </si>
  <si>
    <t>standardize(col('transportation_method'))</t>
  </si>
  <si>
    <t>Surrogate key</t>
  </si>
  <si>
    <t>None</t>
  </si>
  <si>
    <t>1, 2, 3</t>
  </si>
  <si>
    <t>Generate surrogate key on insert</t>
  </si>
  <si>
    <t>Primary category</t>
  </si>
  <si>
    <t>"Sex Trafficking", "Forced Labor", "Organ Trafficking"</t>
  </si>
  <si>
    <t>ExploitationSubtype</t>
  </si>
  <si>
    <t>Specific variant</t>
  </si>
  <si>
    <t>"Child Sexual Exploitation", "Domestic Servitude"</t>
  </si>
  <si>
    <t>ExploitationID</t>
  </si>
  <si>
    <t>ExploitationTypeName</t>
  </si>
  <si>
    <t>col('Exploitation_type_name')</t>
  </si>
  <si>
    <t>col('ExploitationSubType')</t>
  </si>
  <si>
    <t>col('recruitment_type_name')</t>
  </si>
  <si>
    <t>DimRecruitmentType</t>
  </si>
  <si>
    <t>DimTransportType</t>
  </si>
  <si>
    <t>DimExploitationType</t>
  </si>
  <si>
    <t>AgencyId</t>
  </si>
  <si>
    <t>Agency ID</t>
  </si>
  <si>
    <t>AgencyName</t>
  </si>
  <si>
    <t>Agency Name</t>
  </si>
  <si>
    <t>Full name</t>
  </si>
  <si>
    <t>Acronym</t>
  </si>
  <si>
    <t>AgencyType</t>
  </si>
  <si>
    <t>Agency Type</t>
  </si>
  <si>
    <t>Operation Reports</t>
  </si>
  <si>
    <t>Operation Reports &amp; Governement Directory</t>
  </si>
  <si>
    <t>Government Directory</t>
  </si>
  <si>
    <t>Short form used by Agencies</t>
  </si>
  <si>
    <t>Classification of Agencies</t>
  </si>
  <si>
    <t>col("AgencyName")</t>
  </si>
  <si>
    <t>col("Acronym")</t>
  </si>
  <si>
    <t>col("AgencyType")</t>
  </si>
  <si>
    <t>DimAgency</t>
  </si>
  <si>
    <t>DimOperation</t>
  </si>
  <si>
    <t>Captures anti-trafficking operations: Date and location of Operation, Agency Involved, Intervention Type</t>
  </si>
  <si>
    <t>DimHotLine</t>
  </si>
  <si>
    <t>HotlineName</t>
  </si>
  <si>
    <t>Name of the hotline</t>
  </si>
  <si>
    <t>"National Human Trafficking Hotline"</t>
  </si>
  <si>
    <t>Country or region of operation</t>
  </si>
  <si>
    <t>"USA", "India", "Global"</t>
  </si>
  <si>
    <t>LanguageSupport</t>
  </si>
  <si>
    <t>Supported languages</t>
  </si>
  <si>
    <t>"English, Spanish"</t>
  </si>
  <si>
    <t>Availability</t>
  </si>
  <si>
    <t>Hours of operation</t>
  </si>
  <si>
    <t>"24/7", "Business Hours"</t>
  </si>
  <si>
    <t>ContactMethod</t>
  </si>
  <si>
    <t>Type of contact supported</t>
  </si>
  <si>
    <t>"Phone", "Text", "Web Chat"</t>
  </si>
  <si>
    <t>HotlineType</t>
  </si>
  <si>
    <t>Type of hotline</t>
  </si>
  <si>
    <t>"Government", "NGO", "International"</t>
  </si>
  <si>
    <t>Track changes for name (Type 2)</t>
  </si>
  <si>
    <t>Update on change</t>
  </si>
  <si>
    <t>Comma-separated or normalized if needed</t>
  </si>
  <si>
    <t>Clean for standard values</t>
  </si>
  <si>
    <t>Standardize methods</t>
  </si>
  <si>
    <t>National Human Trafficking Hotline Directories</t>
  </si>
  <si>
    <t>Hotline Websites</t>
  </si>
  <si>
    <t>Government Directories</t>
  </si>
  <si>
    <t xml:space="preserve">Captures law enforcement response to hotline calls: Date ,Location of the Hotline, Hotline Reference, Agency Involved </t>
  </si>
  <si>
    <t>DimTransaction</t>
  </si>
  <si>
    <t>Captures the Trafficking Event: Incident Date, Location, Victim key, Criminals Involved, Methods Used</t>
  </si>
  <si>
    <t>OperationID</t>
  </si>
  <si>
    <t>Foreign key to DimRecruitmentType</t>
  </si>
  <si>
    <t>lookup_intervention(col('RecruitmentTypeID'))</t>
  </si>
  <si>
    <t>TransportTypeID</t>
  </si>
  <si>
    <t>Foreign key to DimTransportType</t>
  </si>
  <si>
    <t>lookup_intervention(col('TransportTypeID'))</t>
  </si>
  <si>
    <t>ExploitationTypeID</t>
  </si>
  <si>
    <t>Foreign key to DimExploitationType</t>
  </si>
  <si>
    <t>lookup_intervention(col('ExploitationTypeID'))</t>
  </si>
  <si>
    <t>AgencyID</t>
  </si>
  <si>
    <t>FK to DimAgency dimension (Agencies Involved)</t>
  </si>
  <si>
    <t>FK to DimOperation dimension</t>
  </si>
  <si>
    <t>Agency Dimension</t>
  </si>
  <si>
    <t>Operation Dimension</t>
  </si>
  <si>
    <t>lookup_location(col('AgencyID'))</t>
  </si>
  <si>
    <t>lookup_location(col('OperationID'))</t>
  </si>
  <si>
    <t>lookup_location(col('LocationID'))</t>
  </si>
  <si>
    <t>FK to DimAgency (which Agency was called)</t>
  </si>
  <si>
    <t>Foreign key to DimTransaction</t>
  </si>
  <si>
    <t>Transaction Dimension</t>
  </si>
  <si>
    <t>FactIncident:</t>
  </si>
  <si>
    <t>Number of witness</t>
  </si>
  <si>
    <t>Number of evidence Collected -&gt;DimLead or DimEvidence</t>
  </si>
  <si>
    <t>incident Duration</t>
  </si>
  <si>
    <t>FinancialTransaction:</t>
  </si>
  <si>
    <t>Fact Intervention:</t>
  </si>
  <si>
    <t>No. Personnel Deployed</t>
  </si>
  <si>
    <t>TraffickersApprehended</t>
  </si>
  <si>
    <t>No. VictimsRescued</t>
  </si>
  <si>
    <t>OperationalCost</t>
  </si>
  <si>
    <t>factHotline:</t>
  </si>
  <si>
    <t>VictimCountSold</t>
  </si>
  <si>
    <t>PotentialCaseIdentified</t>
  </si>
  <si>
    <t>Boolen Is not supported in azure sql, so used BIT</t>
  </si>
  <si>
    <t>RecruitmentTypeID</t>
  </si>
  <si>
    <t>If the Call provided any leads or information which lead to case identification</t>
  </si>
  <si>
    <t>col('PotentialCaseIdentified')</t>
  </si>
  <si>
    <t>TransactionQuantitySold</t>
  </si>
  <si>
    <t>Shows Number of Victims Sold over the Transaction</t>
  </si>
  <si>
    <t>col('TransactionQuantitySold')</t>
  </si>
  <si>
    <t>WitnessCount</t>
  </si>
  <si>
    <t>EvidenceCount</t>
  </si>
  <si>
    <t>IncidentDuration</t>
  </si>
  <si>
    <t>Number Of People who witnessed the incident</t>
  </si>
  <si>
    <t>Evidence Collected at the Incident Scene</t>
  </si>
  <si>
    <t>Total Days of the Incident</t>
  </si>
  <si>
    <t>Case Reports, Investigation Reports</t>
  </si>
  <si>
    <t>NumberOfWitness</t>
  </si>
  <si>
    <t>NumberOfEvidenceCollected</t>
  </si>
  <si>
    <t>col('IncidentDuration')</t>
  </si>
  <si>
    <t>col('NumberOfEvidenceCollected')</t>
  </si>
  <si>
    <t>RecruitmentITypeID</t>
  </si>
  <si>
    <t>NumberOfPersonnelDeployed</t>
  </si>
  <si>
    <t>NumberOfVictimsRescued</t>
  </si>
  <si>
    <t>Total Number of Officers Selected for Operation</t>
  </si>
  <si>
    <t>Total Number of Traffickers/Criminals Caught</t>
  </si>
  <si>
    <t>Total Number of Victims Rescued</t>
  </si>
  <si>
    <t>Total cost of entire Operation</t>
  </si>
  <si>
    <t>YES</t>
  </si>
  <si>
    <t>col('TraffickersApprehended')</t>
  </si>
  <si>
    <t>col('NumberOfPersonnelDeployed')</t>
  </si>
  <si>
    <t>col('NumberOfVictimsRescued')</t>
  </si>
  <si>
    <t>col('OperationalCost')</t>
  </si>
  <si>
    <t>TransportationTypeID</t>
  </si>
  <si>
    <t>Auto-Increment</t>
  </si>
  <si>
    <t>Federal Bureau of Investigation - Human Trafficking Unit</t>
  </si>
  <si>
    <t>Bribe</t>
  </si>
  <si>
    <t>Cryptocurrency</t>
  </si>
  <si>
    <t>USD</t>
  </si>
  <si>
    <t>Bank of America</t>
  </si>
  <si>
    <t>0x3a5b...c42d</t>
  </si>
  <si>
    <t>PayPal</t>
  </si>
  <si>
    <t>123 Main St, Los Angeles, CA</t>
  </si>
  <si>
    <t>Los Angeles County</t>
  </si>
  <si>
    <t>California</t>
  </si>
  <si>
    <t>USA</t>
  </si>
  <si>
    <t>Urban</t>
  </si>
  <si>
    <t>FBI HTIU</t>
  </si>
  <si>
    <t>Law Enforcement</t>
  </si>
  <si>
    <t>VictimSK</t>
  </si>
  <si>
    <t>Not Applicable</t>
  </si>
  <si>
    <t>track_history_key()</t>
  </si>
  <si>
    <t>TraffickerSK</t>
  </si>
  <si>
    <t>OperationSK</t>
  </si>
  <si>
    <t>HotlineSK</t>
  </si>
  <si>
    <t>DimTransportationType</t>
  </si>
  <si>
    <t>DimVictimDate</t>
  </si>
  <si>
    <t>DimVictimLocation</t>
  </si>
  <si>
    <t>DimVictimTrafficker</t>
  </si>
  <si>
    <t>DimVictimRecruitmentIType</t>
  </si>
  <si>
    <t>DimVictimTransportType</t>
  </si>
  <si>
    <t>DimVictimExploitationType</t>
  </si>
  <si>
    <t>DimCase</t>
  </si>
  <si>
    <t>CaseId</t>
  </si>
  <si>
    <t>ReportId</t>
  </si>
  <si>
    <t>CaseDate</t>
  </si>
  <si>
    <t>CaseID</t>
  </si>
  <si>
    <t>CaseTime</t>
  </si>
  <si>
    <t>Time Of Case</t>
  </si>
  <si>
    <t>ReportID</t>
  </si>
  <si>
    <t>12445-5533-2211</t>
  </si>
  <si>
    <t>col("ReportId")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</si>
</sst>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textRotation="45"/>
    </xf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 vertical="center" textRotation="45"/>
    </xf>
    <xf numFmtId="2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3ED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>
      <selection activeCell="A5" sqref="A5"/>
    </sheetView>
  </sheetViews>
  <sheetFormatPr defaultColWidth="8.81640625" defaultRowHeight="14" x14ac:dyDescent="0.3"/>
  <cols>
    <col min="1" max="1" width="26.81640625" style="2" bestFit="1" customWidth="1"/>
    <col min="2" max="2" width="12.1796875" style="2" bestFit="1" customWidth="1"/>
    <col min="3" max="3" width="11.453125" style="2" bestFit="1" customWidth="1"/>
    <col min="4" max="4" width="9.81640625" style="2" bestFit="1" customWidth="1"/>
    <col min="5" max="5" width="12.1796875" style="2" bestFit="1" customWidth="1"/>
    <col min="6" max="9" width="12.1796875" style="2" customWidth="1"/>
    <col min="10" max="10" width="14.453125" style="2" bestFit="1" customWidth="1"/>
    <col min="11" max="11" width="13.453125" style="2" bestFit="1" customWidth="1"/>
    <col min="12" max="14" width="8.81640625" style="2"/>
    <col min="15" max="15" width="92.81640625" style="2" bestFit="1" customWidth="1"/>
    <col min="16" max="16384" width="8.81640625" style="2"/>
  </cols>
  <sheetData>
    <row r="1" spans="1:15" ht="94" customHeight="1" x14ac:dyDescent="0.3">
      <c r="A1" s="3" t="s">
        <v>8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336</v>
      </c>
      <c r="G1" s="4" t="s">
        <v>337</v>
      </c>
      <c r="H1" s="4" t="s">
        <v>338</v>
      </c>
      <c r="I1" s="4" t="s">
        <v>355</v>
      </c>
      <c r="J1" s="4" t="s">
        <v>356</v>
      </c>
      <c r="K1" s="4" t="s">
        <v>358</v>
      </c>
      <c r="L1" s="4" t="s">
        <v>385</v>
      </c>
      <c r="M1" s="14" t="s">
        <v>479</v>
      </c>
      <c r="N1" s="5"/>
      <c r="O1" s="5" t="s">
        <v>9</v>
      </c>
    </row>
    <row r="2" spans="1:15" x14ac:dyDescent="0.3">
      <c r="A2" s="6" t="s">
        <v>0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10</v>
      </c>
      <c r="G2" s="7" t="s">
        <v>10</v>
      </c>
      <c r="H2" s="7" t="s">
        <v>10</v>
      </c>
      <c r="I2" s="7"/>
      <c r="J2" s="7"/>
      <c r="K2" s="7"/>
      <c r="M2" s="7" t="s">
        <v>10</v>
      </c>
      <c r="O2" s="2" t="s">
        <v>386</v>
      </c>
    </row>
    <row r="3" spans="1:15" x14ac:dyDescent="0.3">
      <c r="A3" s="6" t="s">
        <v>1</v>
      </c>
      <c r="B3" s="7" t="s">
        <v>10</v>
      </c>
      <c r="C3" s="7" t="s">
        <v>10</v>
      </c>
      <c r="D3" s="7"/>
      <c r="E3" s="7"/>
      <c r="F3" s="7"/>
      <c r="G3" s="7"/>
      <c r="H3" s="7"/>
      <c r="I3" s="7" t="s">
        <v>10</v>
      </c>
      <c r="J3" s="7" t="s">
        <v>10</v>
      </c>
      <c r="K3" s="7"/>
      <c r="O3" s="2" t="s">
        <v>357</v>
      </c>
    </row>
    <row r="4" spans="1:15" x14ac:dyDescent="0.3">
      <c r="A4" s="6" t="s">
        <v>2</v>
      </c>
      <c r="B4" s="7" t="s">
        <v>10</v>
      </c>
      <c r="C4" s="7" t="s">
        <v>10</v>
      </c>
      <c r="D4" s="7"/>
      <c r="E4" s="7" t="s">
        <v>10</v>
      </c>
      <c r="F4" s="7"/>
      <c r="G4" s="7"/>
      <c r="H4" s="7"/>
      <c r="I4" s="7"/>
      <c r="J4" s="7"/>
      <c r="K4" s="7"/>
      <c r="L4" s="7" t="s">
        <v>10</v>
      </c>
      <c r="M4" s="7"/>
      <c r="O4" s="2" t="s">
        <v>270</v>
      </c>
    </row>
    <row r="5" spans="1:15" x14ac:dyDescent="0.3">
      <c r="A5" s="6" t="s">
        <v>3</v>
      </c>
      <c r="B5" s="7" t="s">
        <v>10</v>
      </c>
      <c r="C5" s="7" t="s">
        <v>10</v>
      </c>
      <c r="D5" s="7"/>
      <c r="E5" s="7"/>
      <c r="F5" s="7"/>
      <c r="G5" s="7"/>
      <c r="H5" s="7"/>
      <c r="I5" s="7" t="s">
        <v>10</v>
      </c>
      <c r="J5" s="7"/>
      <c r="K5" s="7" t="s">
        <v>10</v>
      </c>
      <c r="M5" s="7" t="s">
        <v>10</v>
      </c>
      <c r="O5" s="8" t="s">
        <v>384</v>
      </c>
    </row>
    <row r="6" spans="1:15" x14ac:dyDescent="0.3">
      <c r="B6" s="7"/>
      <c r="C6" s="7"/>
      <c r="D6" s="7"/>
      <c r="E6" s="7"/>
      <c r="F6" s="7"/>
      <c r="G6" s="7"/>
      <c r="H6" s="7"/>
      <c r="I6" s="7"/>
      <c r="J6" s="7"/>
      <c r="K6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06B1-4295-489C-BBD5-4C29DFC12CB5}">
  <dimension ref="A1:L19"/>
  <sheetViews>
    <sheetView tabSelected="1" workbookViewId="0">
      <selection activeCell="C10" sqref="C10"/>
    </sheetView>
  </sheetViews>
  <sheetFormatPr defaultRowHeight="14.5" x14ac:dyDescent="0.35"/>
  <cols>
    <col min="1" max="1" width="18.81640625" bestFit="1" customWidth="1"/>
    <col min="2" max="2" width="17.81640625" bestFit="1" customWidth="1"/>
    <col min="3" max="3" width="17.81640625" customWidth="1"/>
    <col min="4" max="4" width="14.81640625" bestFit="1" customWidth="1"/>
    <col min="5" max="5" width="11.1796875" bestFit="1" customWidth="1"/>
    <col min="6" max="6" width="17.08984375" bestFit="1" customWidth="1"/>
    <col min="7" max="7" width="14.90625" bestFit="1" customWidth="1"/>
    <col min="8" max="8" width="12.1796875" bestFit="1" customWidth="1"/>
    <col min="9" max="9" width="11.453125" bestFit="1" customWidth="1"/>
    <col min="10" max="10" width="21.08984375" bestFit="1" customWidth="1"/>
    <col min="11" max="11" width="19.54296875" bestFit="1" customWidth="1"/>
    <col min="12" max="12" width="18.453125" bestFit="1" customWidth="1"/>
  </cols>
  <sheetData>
    <row r="1" spans="1:12" x14ac:dyDescent="0.35">
      <c r="A1" s="12" t="s">
        <v>385</v>
      </c>
      <c r="B1" s="12" t="s">
        <v>6</v>
      </c>
      <c r="C1" s="12" t="s">
        <v>479</v>
      </c>
      <c r="D1" s="12" t="s">
        <v>7</v>
      </c>
      <c r="E1" s="12" t="s">
        <v>5</v>
      </c>
      <c r="F1" s="12" t="s">
        <v>356</v>
      </c>
      <c r="G1" s="12" t="s">
        <v>358</v>
      </c>
      <c r="H1" s="12" t="s">
        <v>4</v>
      </c>
      <c r="I1" s="12" t="s">
        <v>355</v>
      </c>
      <c r="J1" s="12" t="s">
        <v>472</v>
      </c>
      <c r="K1" s="12" t="s">
        <v>336</v>
      </c>
      <c r="L1" s="12" t="s">
        <v>338</v>
      </c>
    </row>
    <row r="2" spans="1:12" x14ac:dyDescent="0.35">
      <c r="A2" t="s">
        <v>286</v>
      </c>
      <c r="B2" t="s">
        <v>466</v>
      </c>
      <c r="C2" t="s">
        <v>480</v>
      </c>
      <c r="D2" t="s">
        <v>469</v>
      </c>
      <c r="E2" t="s">
        <v>289</v>
      </c>
      <c r="F2" t="s">
        <v>470</v>
      </c>
      <c r="G2" t="s">
        <v>471</v>
      </c>
      <c r="H2" t="s">
        <v>288</v>
      </c>
      <c r="I2" t="s">
        <v>339</v>
      </c>
      <c r="J2" t="s">
        <v>450</v>
      </c>
      <c r="K2" t="s">
        <v>421</v>
      </c>
      <c r="L2" t="s">
        <v>393</v>
      </c>
    </row>
    <row r="3" spans="1:12" x14ac:dyDescent="0.35">
      <c r="A3" t="s">
        <v>239</v>
      </c>
      <c r="B3" t="s">
        <v>94</v>
      </c>
      <c r="C3" t="s">
        <v>481</v>
      </c>
      <c r="D3" t="s">
        <v>137</v>
      </c>
      <c r="E3" t="s">
        <v>65</v>
      </c>
      <c r="F3" t="s">
        <v>387</v>
      </c>
      <c r="G3" t="s">
        <v>295</v>
      </c>
      <c r="H3" t="s">
        <v>25</v>
      </c>
      <c r="I3" t="s">
        <v>341</v>
      </c>
      <c r="J3" t="s">
        <v>169</v>
      </c>
      <c r="K3" t="s">
        <v>302</v>
      </c>
      <c r="L3" t="s">
        <v>171</v>
      </c>
    </row>
    <row r="4" spans="1:12" x14ac:dyDescent="0.35">
      <c r="A4" t="s">
        <v>244</v>
      </c>
      <c r="B4" t="s">
        <v>149</v>
      </c>
      <c r="C4" t="s">
        <v>482</v>
      </c>
      <c r="D4" t="s">
        <v>149</v>
      </c>
      <c r="E4" t="s">
        <v>69</v>
      </c>
      <c r="F4" t="s">
        <v>173</v>
      </c>
      <c r="G4" t="s">
        <v>359</v>
      </c>
      <c r="H4" t="s">
        <v>29</v>
      </c>
      <c r="I4" t="s">
        <v>344</v>
      </c>
      <c r="J4" t="s">
        <v>316</v>
      </c>
      <c r="K4" t="s">
        <v>9</v>
      </c>
      <c r="L4" t="s">
        <v>328</v>
      </c>
    </row>
    <row r="5" spans="1:12" x14ac:dyDescent="0.35">
      <c r="A5" t="s">
        <v>248</v>
      </c>
      <c r="B5" t="s">
        <v>96</v>
      </c>
      <c r="D5" t="s">
        <v>96</v>
      </c>
      <c r="E5" t="s">
        <v>84</v>
      </c>
      <c r="F5" t="s">
        <v>179</v>
      </c>
      <c r="G5" t="s">
        <v>71</v>
      </c>
      <c r="H5" t="s">
        <v>32</v>
      </c>
      <c r="I5" t="s">
        <v>345</v>
      </c>
    </row>
    <row r="6" spans="1:12" x14ac:dyDescent="0.35">
      <c r="A6" t="s">
        <v>252</v>
      </c>
      <c r="B6" t="s">
        <v>102</v>
      </c>
      <c r="D6" t="s">
        <v>141</v>
      </c>
      <c r="E6" t="s">
        <v>71</v>
      </c>
      <c r="F6" t="s">
        <v>185</v>
      </c>
      <c r="G6" t="s">
        <v>364</v>
      </c>
      <c r="H6" t="s">
        <v>34</v>
      </c>
    </row>
    <row r="7" spans="1:12" x14ac:dyDescent="0.35">
      <c r="A7" t="s">
        <v>257</v>
      </c>
      <c r="B7" t="s">
        <v>105</v>
      </c>
      <c r="D7" t="s">
        <v>124</v>
      </c>
      <c r="E7" t="s">
        <v>74</v>
      </c>
      <c r="F7" t="s">
        <v>191</v>
      </c>
      <c r="G7" t="s">
        <v>367</v>
      </c>
      <c r="H7" t="s">
        <v>38</v>
      </c>
    </row>
    <row r="8" spans="1:12" x14ac:dyDescent="0.35">
      <c r="A8" t="s">
        <v>262</v>
      </c>
      <c r="B8" t="s">
        <v>110</v>
      </c>
      <c r="D8" t="s">
        <v>102</v>
      </c>
      <c r="E8" t="s">
        <v>76</v>
      </c>
      <c r="F8" s="13" t="s">
        <v>292</v>
      </c>
      <c r="G8" t="s">
        <v>370</v>
      </c>
      <c r="H8" t="s">
        <v>43</v>
      </c>
    </row>
    <row r="9" spans="1:12" x14ac:dyDescent="0.35">
      <c r="A9" t="s">
        <v>265</v>
      </c>
      <c r="B9" t="s">
        <v>114</v>
      </c>
      <c r="D9" t="s">
        <v>151</v>
      </c>
      <c r="E9" t="s">
        <v>79</v>
      </c>
      <c r="F9" s="13" t="s">
        <v>289</v>
      </c>
      <c r="G9" t="s">
        <v>373</v>
      </c>
      <c r="H9" t="s">
        <v>45</v>
      </c>
    </row>
    <row r="10" spans="1:12" x14ac:dyDescent="0.35">
      <c r="A10" s="13" t="s">
        <v>288</v>
      </c>
      <c r="B10" t="s">
        <v>119</v>
      </c>
      <c r="D10" t="s">
        <v>155</v>
      </c>
      <c r="E10" t="s">
        <v>298</v>
      </c>
      <c r="F10" s="13" t="s">
        <v>396</v>
      </c>
      <c r="G10" s="13" t="s">
        <v>288</v>
      </c>
      <c r="H10" t="s">
        <v>47</v>
      </c>
    </row>
    <row r="11" spans="1:12" x14ac:dyDescent="0.35">
      <c r="A11" s="13" t="s">
        <v>289</v>
      </c>
      <c r="B11" t="s">
        <v>124</v>
      </c>
      <c r="D11" t="s">
        <v>128</v>
      </c>
      <c r="F11" s="13"/>
      <c r="G11" s="13" t="s">
        <v>289</v>
      </c>
      <c r="H11" t="s">
        <v>51</v>
      </c>
    </row>
    <row r="12" spans="1:12" x14ac:dyDescent="0.35">
      <c r="A12" s="13" t="s">
        <v>137</v>
      </c>
      <c r="B12" t="s">
        <v>128</v>
      </c>
      <c r="D12" t="s">
        <v>114</v>
      </c>
      <c r="G12" s="13" t="s">
        <v>396</v>
      </c>
      <c r="H12" t="s">
        <v>52</v>
      </c>
    </row>
    <row r="13" spans="1:12" x14ac:dyDescent="0.35">
      <c r="A13" s="7"/>
      <c r="B13" s="13" t="s">
        <v>288</v>
      </c>
      <c r="C13" s="13"/>
      <c r="D13" t="s">
        <v>110</v>
      </c>
    </row>
    <row r="14" spans="1:12" x14ac:dyDescent="0.35">
      <c r="B14" s="13" t="s">
        <v>289</v>
      </c>
      <c r="C14" s="13"/>
      <c r="D14" t="s">
        <v>105</v>
      </c>
    </row>
    <row r="15" spans="1:12" x14ac:dyDescent="0.35">
      <c r="B15" s="13" t="s">
        <v>137</v>
      </c>
      <c r="C15" s="13"/>
      <c r="D15" t="s">
        <v>197</v>
      </c>
    </row>
    <row r="16" spans="1:12" x14ac:dyDescent="0.35">
      <c r="B16" s="13" t="s">
        <v>438</v>
      </c>
      <c r="C16" s="13"/>
    </row>
    <row r="17" spans="2:3" x14ac:dyDescent="0.35">
      <c r="B17" s="13" t="s">
        <v>390</v>
      </c>
      <c r="C17" s="13"/>
    </row>
    <row r="18" spans="2:3" x14ac:dyDescent="0.35">
      <c r="B18" s="13" t="s">
        <v>393</v>
      </c>
      <c r="C18" s="13"/>
    </row>
    <row r="19" spans="2:3" x14ac:dyDescent="0.35">
      <c r="B19" s="13" t="s">
        <v>483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4C1D-7571-4AAA-B816-9747E1E9DEF6}">
  <dimension ref="A1:A7"/>
  <sheetViews>
    <sheetView workbookViewId="0">
      <selection activeCell="D6" sqref="D6"/>
    </sheetView>
  </sheetViews>
  <sheetFormatPr defaultRowHeight="14.5" x14ac:dyDescent="0.35"/>
  <cols>
    <col min="1" max="1" width="25.54296875" bestFit="1" customWidth="1"/>
  </cols>
  <sheetData>
    <row r="1" spans="1:1" x14ac:dyDescent="0.35">
      <c r="A1" s="13" t="s">
        <v>6</v>
      </c>
    </row>
    <row r="2" spans="1:1" x14ac:dyDescent="0.35">
      <c r="A2" t="s">
        <v>473</v>
      </c>
    </row>
    <row r="3" spans="1:1" x14ac:dyDescent="0.35">
      <c r="A3" t="s">
        <v>474</v>
      </c>
    </row>
    <row r="4" spans="1:1" x14ac:dyDescent="0.35">
      <c r="A4" t="s">
        <v>475</v>
      </c>
    </row>
    <row r="5" spans="1:1" x14ac:dyDescent="0.35">
      <c r="A5" t="s">
        <v>476</v>
      </c>
    </row>
    <row r="6" spans="1:1" x14ac:dyDescent="0.35">
      <c r="A6" t="s">
        <v>477</v>
      </c>
    </row>
    <row r="7" spans="1:1" x14ac:dyDescent="0.35">
      <c r="A7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opLeftCell="C1" workbookViewId="0">
      <selection sqref="A1:XFD1"/>
    </sheetView>
  </sheetViews>
  <sheetFormatPr defaultColWidth="8.81640625" defaultRowHeight="14" x14ac:dyDescent="0.3"/>
  <cols>
    <col min="1" max="1" width="29" style="10" bestFit="1" customWidth="1"/>
    <col min="2" max="2" width="17.453125" style="10" bestFit="1" customWidth="1"/>
    <col min="3" max="3" width="53.6328125" style="10" bestFit="1" customWidth="1"/>
    <col min="4" max="4" width="11.453125" style="10" bestFit="1" customWidth="1"/>
    <col min="5" max="5" width="8.81640625" style="10"/>
    <col min="6" max="6" width="7.81640625" style="10" bestFit="1" customWidth="1"/>
    <col min="7" max="7" width="13.453125" style="10" bestFit="1" customWidth="1"/>
    <col min="8" max="8" width="16.6328125" style="10" bestFit="1" customWidth="1"/>
    <col min="9" max="9" width="33.08984375" style="10" bestFit="1" customWidth="1"/>
    <col min="10" max="10" width="34.1796875" style="10" bestFit="1" customWidth="1"/>
    <col min="11" max="16384" width="8.81640625" style="10"/>
  </cols>
  <sheetData>
    <row r="1" spans="1:10" ht="37.5" customHeight="1" x14ac:dyDescent="0.4">
      <c r="A1" s="9" t="s">
        <v>11</v>
      </c>
      <c r="B1" s="9" t="s">
        <v>12</v>
      </c>
      <c r="C1" s="9" t="s">
        <v>9</v>
      </c>
      <c r="D1" s="9" t="s">
        <v>234</v>
      </c>
      <c r="E1" s="9" t="s">
        <v>61</v>
      </c>
      <c r="F1" s="9" t="s">
        <v>62</v>
      </c>
      <c r="G1" s="9" t="s">
        <v>14</v>
      </c>
      <c r="H1" s="9" t="s">
        <v>235</v>
      </c>
      <c r="I1" s="9" t="s">
        <v>17</v>
      </c>
      <c r="J1" s="9" t="s">
        <v>18</v>
      </c>
    </row>
    <row r="2" spans="1:10" x14ac:dyDescent="0.3">
      <c r="A2" s="7" t="s">
        <v>291</v>
      </c>
      <c r="B2" s="10" t="s">
        <v>291</v>
      </c>
      <c r="C2" s="10" t="s">
        <v>276</v>
      </c>
      <c r="D2" s="10" t="s">
        <v>20</v>
      </c>
      <c r="E2" s="10" t="s">
        <v>21</v>
      </c>
      <c r="F2" s="10" t="s">
        <v>63</v>
      </c>
      <c r="G2" s="10" t="s">
        <v>135</v>
      </c>
      <c r="H2" s="10">
        <v>100001</v>
      </c>
      <c r="I2" s="10" t="s">
        <v>31</v>
      </c>
      <c r="J2" s="10" t="s">
        <v>271</v>
      </c>
    </row>
    <row r="3" spans="1:10" x14ac:dyDescent="0.3">
      <c r="A3" s="7" t="s">
        <v>288</v>
      </c>
      <c r="B3" s="10" t="s">
        <v>290</v>
      </c>
      <c r="C3" s="10" t="s">
        <v>277</v>
      </c>
      <c r="D3" s="10" t="s">
        <v>20</v>
      </c>
      <c r="E3" s="10" t="s">
        <v>133</v>
      </c>
      <c r="F3" s="10" t="s">
        <v>63</v>
      </c>
      <c r="G3" s="10">
        <v>0</v>
      </c>
      <c r="H3" s="10">
        <v>20250529</v>
      </c>
      <c r="I3" s="10" t="s">
        <v>278</v>
      </c>
      <c r="J3" s="10" t="s">
        <v>218</v>
      </c>
    </row>
    <row r="4" spans="1:10" x14ac:dyDescent="0.3">
      <c r="A4" s="7" t="s">
        <v>289</v>
      </c>
      <c r="B4" s="10" t="s">
        <v>289</v>
      </c>
      <c r="C4" s="10" t="s">
        <v>279</v>
      </c>
      <c r="D4" s="10" t="s">
        <v>20</v>
      </c>
      <c r="E4" s="10" t="s">
        <v>133</v>
      </c>
      <c r="F4" s="10" t="s">
        <v>63</v>
      </c>
      <c r="G4" s="10">
        <v>0</v>
      </c>
      <c r="H4" s="10">
        <v>509</v>
      </c>
      <c r="I4" s="10" t="s">
        <v>280</v>
      </c>
      <c r="J4" s="10" t="s">
        <v>196</v>
      </c>
    </row>
    <row r="5" spans="1:10" x14ac:dyDescent="0.3">
      <c r="A5" s="7" t="s">
        <v>94</v>
      </c>
      <c r="B5" s="10" t="s">
        <v>94</v>
      </c>
      <c r="C5" s="10" t="s">
        <v>281</v>
      </c>
      <c r="D5" s="10" t="s">
        <v>20</v>
      </c>
      <c r="E5" s="10" t="s">
        <v>133</v>
      </c>
      <c r="F5" s="10" t="s">
        <v>68</v>
      </c>
      <c r="G5" s="10">
        <v>0</v>
      </c>
      <c r="H5" s="10">
        <v>1104</v>
      </c>
      <c r="I5" s="10" t="s">
        <v>134</v>
      </c>
      <c r="J5" s="10" t="s">
        <v>282</v>
      </c>
    </row>
    <row r="6" spans="1:10" x14ac:dyDescent="0.3">
      <c r="A6" s="7" t="s">
        <v>137</v>
      </c>
      <c r="B6" s="10" t="s">
        <v>137</v>
      </c>
      <c r="C6" s="10" t="s">
        <v>275</v>
      </c>
      <c r="D6" s="10" t="s">
        <v>20</v>
      </c>
      <c r="E6" s="10" t="s">
        <v>133</v>
      </c>
      <c r="F6" s="10" t="s">
        <v>68</v>
      </c>
      <c r="G6" s="10">
        <v>0</v>
      </c>
      <c r="H6" s="10">
        <v>205</v>
      </c>
      <c r="I6" s="10" t="s">
        <v>144</v>
      </c>
      <c r="J6" s="10" t="s">
        <v>283</v>
      </c>
    </row>
    <row r="7" spans="1:10" x14ac:dyDescent="0.3">
      <c r="A7" s="7" t="s">
        <v>438</v>
      </c>
      <c r="B7" s="10" t="s">
        <v>438</v>
      </c>
      <c r="C7" s="10" t="s">
        <v>388</v>
      </c>
      <c r="D7" s="10" t="s">
        <v>20</v>
      </c>
      <c r="E7" s="10" t="s">
        <v>133</v>
      </c>
      <c r="F7" s="10" t="s">
        <v>68</v>
      </c>
      <c r="G7" s="10">
        <v>0</v>
      </c>
      <c r="H7" s="10">
        <v>302</v>
      </c>
      <c r="I7" s="10" t="s">
        <v>284</v>
      </c>
      <c r="J7" s="10" t="s">
        <v>389</v>
      </c>
    </row>
    <row r="8" spans="1:10" x14ac:dyDescent="0.3">
      <c r="A8" s="7" t="s">
        <v>390</v>
      </c>
      <c r="B8" s="10" t="s">
        <v>390</v>
      </c>
      <c r="C8" s="10" t="s">
        <v>391</v>
      </c>
      <c r="D8" s="10" t="s">
        <v>20</v>
      </c>
      <c r="E8" s="10" t="s">
        <v>133</v>
      </c>
      <c r="F8" s="10" t="s">
        <v>68</v>
      </c>
      <c r="G8" s="10">
        <v>0</v>
      </c>
      <c r="H8" s="10">
        <v>302</v>
      </c>
      <c r="I8" s="10" t="s">
        <v>284</v>
      </c>
      <c r="J8" s="10" t="s">
        <v>392</v>
      </c>
    </row>
    <row r="9" spans="1:10" x14ac:dyDescent="0.3">
      <c r="A9" s="7" t="s">
        <v>393</v>
      </c>
      <c r="B9" s="10" t="s">
        <v>393</v>
      </c>
      <c r="C9" s="10" t="s">
        <v>394</v>
      </c>
      <c r="D9" s="10" t="s">
        <v>20</v>
      </c>
      <c r="E9" s="10" t="s">
        <v>133</v>
      </c>
      <c r="F9" s="10" t="s">
        <v>68</v>
      </c>
      <c r="G9" s="10">
        <v>0</v>
      </c>
      <c r="H9" s="10">
        <v>302</v>
      </c>
      <c r="I9" s="10" t="s">
        <v>284</v>
      </c>
      <c r="J9" s="10" t="s">
        <v>395</v>
      </c>
    </row>
    <row r="10" spans="1:10" x14ac:dyDescent="0.3">
      <c r="A10" s="7" t="s">
        <v>434</v>
      </c>
      <c r="B10" s="10" t="s">
        <v>427</v>
      </c>
      <c r="C10" s="10" t="s">
        <v>430</v>
      </c>
      <c r="D10" s="10" t="s">
        <v>20</v>
      </c>
      <c r="F10" s="10" t="s">
        <v>68</v>
      </c>
      <c r="G10" s="10">
        <v>0</v>
      </c>
      <c r="H10" s="10">
        <v>1</v>
      </c>
      <c r="I10" s="10" t="s">
        <v>433</v>
      </c>
      <c r="J10" s="10" t="s">
        <v>436</v>
      </c>
    </row>
    <row r="11" spans="1:10" x14ac:dyDescent="0.3">
      <c r="A11" s="7" t="s">
        <v>435</v>
      </c>
      <c r="B11" s="10" t="s">
        <v>428</v>
      </c>
      <c r="C11" s="10" t="s">
        <v>431</v>
      </c>
      <c r="D11" s="10" t="s">
        <v>20</v>
      </c>
      <c r="F11" s="10" t="s">
        <v>68</v>
      </c>
      <c r="G11" s="10">
        <v>0</v>
      </c>
      <c r="H11" s="10">
        <v>44</v>
      </c>
      <c r="I11" s="10" t="s">
        <v>433</v>
      </c>
      <c r="J11" s="10" t="s">
        <v>437</v>
      </c>
    </row>
    <row r="12" spans="1:10" x14ac:dyDescent="0.3">
      <c r="A12" s="7" t="s">
        <v>429</v>
      </c>
      <c r="B12" s="10" t="s">
        <v>429</v>
      </c>
      <c r="C12" s="10" t="s">
        <v>432</v>
      </c>
      <c r="D12" s="10" t="s">
        <v>20</v>
      </c>
      <c r="F12" s="10" t="s">
        <v>68</v>
      </c>
      <c r="G12" s="10">
        <v>0</v>
      </c>
      <c r="H12" s="10">
        <v>6</v>
      </c>
      <c r="I12" s="10" t="s">
        <v>433</v>
      </c>
      <c r="J12" s="10" t="s">
        <v>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K1" sqref="K1"/>
    </sheetView>
  </sheetViews>
  <sheetFormatPr defaultColWidth="8.81640625" defaultRowHeight="14" x14ac:dyDescent="0.3"/>
  <cols>
    <col min="1" max="1" width="28" style="10" bestFit="1" customWidth="1"/>
    <col min="2" max="2" width="21.81640625" style="10" bestFit="1" customWidth="1"/>
    <col min="3" max="3" width="52.1796875" style="10" bestFit="1" customWidth="1"/>
    <col min="4" max="4" width="13.6328125" style="10" customWidth="1"/>
    <col min="5" max="5" width="13.453125" style="10" customWidth="1"/>
    <col min="6" max="6" width="15.36328125" style="10" customWidth="1"/>
    <col min="7" max="7" width="13.453125" style="10" bestFit="1" customWidth="1"/>
    <col min="8" max="8" width="11.81640625" style="10" bestFit="1" customWidth="1"/>
    <col min="9" max="9" width="20" style="10" bestFit="1" customWidth="1"/>
    <col min="10" max="10" width="38.81640625" style="10" bestFit="1" customWidth="1"/>
    <col min="11" max="16384" width="8.81640625" style="10"/>
  </cols>
  <sheetData>
    <row r="1" spans="1:10" ht="36" x14ac:dyDescent="0.4">
      <c r="A1" s="9" t="s">
        <v>11</v>
      </c>
      <c r="B1" s="9" t="s">
        <v>12</v>
      </c>
      <c r="C1" s="9" t="s">
        <v>9</v>
      </c>
      <c r="D1" s="9" t="s">
        <v>234</v>
      </c>
      <c r="E1" s="9" t="s">
        <v>61</v>
      </c>
      <c r="F1" s="9" t="s">
        <v>62</v>
      </c>
      <c r="G1" s="9" t="s">
        <v>14</v>
      </c>
      <c r="H1" s="9" t="s">
        <v>235</v>
      </c>
      <c r="I1" s="9" t="s">
        <v>17</v>
      </c>
      <c r="J1" s="9" t="s">
        <v>18</v>
      </c>
    </row>
    <row r="2" spans="1:10" x14ac:dyDescent="0.3">
      <c r="A2" s="7" t="s">
        <v>287</v>
      </c>
      <c r="B2" s="10" t="s">
        <v>287</v>
      </c>
      <c r="C2" s="10" t="s">
        <v>236</v>
      </c>
      <c r="D2" s="10" t="s">
        <v>20</v>
      </c>
      <c r="E2" s="10" t="s">
        <v>21</v>
      </c>
      <c r="F2" s="10" t="s">
        <v>63</v>
      </c>
      <c r="G2" s="10" t="s">
        <v>135</v>
      </c>
      <c r="H2" s="10">
        <v>10001</v>
      </c>
      <c r="I2" s="10" t="s">
        <v>31</v>
      </c>
      <c r="J2" s="10" t="s">
        <v>271</v>
      </c>
    </row>
    <row r="3" spans="1:10" x14ac:dyDescent="0.3">
      <c r="A3" s="7" t="s">
        <v>288</v>
      </c>
      <c r="B3" s="10" t="s">
        <v>288</v>
      </c>
      <c r="C3" s="10" t="s">
        <v>273</v>
      </c>
      <c r="D3" s="10" t="s">
        <v>20</v>
      </c>
      <c r="E3" s="10" t="s">
        <v>133</v>
      </c>
      <c r="F3" s="10" t="s">
        <v>63</v>
      </c>
      <c r="H3" s="10">
        <v>20250529</v>
      </c>
      <c r="I3" s="10" t="s">
        <v>227</v>
      </c>
      <c r="J3" s="10" t="s">
        <v>218</v>
      </c>
    </row>
    <row r="4" spans="1:10" x14ac:dyDescent="0.3">
      <c r="A4" s="7" t="s">
        <v>289</v>
      </c>
      <c r="B4" s="10" t="s">
        <v>289</v>
      </c>
      <c r="C4" s="10" t="s">
        <v>274</v>
      </c>
      <c r="D4" s="10" t="s">
        <v>20</v>
      </c>
      <c r="E4" s="10" t="s">
        <v>133</v>
      </c>
      <c r="F4" s="10" t="s">
        <v>63</v>
      </c>
      <c r="H4" s="10">
        <v>501</v>
      </c>
      <c r="I4" s="10" t="s">
        <v>228</v>
      </c>
      <c r="J4" s="10" t="s">
        <v>196</v>
      </c>
    </row>
    <row r="5" spans="1:10" x14ac:dyDescent="0.3">
      <c r="A5" s="7" t="s">
        <v>137</v>
      </c>
      <c r="B5" s="10" t="s">
        <v>137</v>
      </c>
      <c r="C5" s="10" t="s">
        <v>275</v>
      </c>
      <c r="D5" s="10" t="s">
        <v>20</v>
      </c>
      <c r="E5" s="10" t="s">
        <v>133</v>
      </c>
      <c r="F5" s="10" t="s">
        <v>63</v>
      </c>
      <c r="H5" s="10">
        <v>302</v>
      </c>
      <c r="I5" s="10" t="s">
        <v>285</v>
      </c>
      <c r="J5" s="10" t="s">
        <v>283</v>
      </c>
    </row>
    <row r="6" spans="1:10" x14ac:dyDescent="0.3">
      <c r="A6" s="7" t="s">
        <v>286</v>
      </c>
      <c r="B6" s="10" t="s">
        <v>286</v>
      </c>
      <c r="C6" s="10" t="s">
        <v>405</v>
      </c>
      <c r="D6" s="10" t="s">
        <v>20</v>
      </c>
      <c r="E6" s="10" t="s">
        <v>133</v>
      </c>
      <c r="F6" s="10" t="s">
        <v>63</v>
      </c>
      <c r="H6" s="10">
        <v>1201</v>
      </c>
      <c r="I6" s="10" t="s">
        <v>406</v>
      </c>
      <c r="J6" s="10" t="s">
        <v>272</v>
      </c>
    </row>
    <row r="7" spans="1:10" x14ac:dyDescent="0.3">
      <c r="A7" s="7" t="s">
        <v>424</v>
      </c>
      <c r="B7" s="10" t="s">
        <v>424</v>
      </c>
      <c r="C7" s="10" t="s">
        <v>425</v>
      </c>
      <c r="D7" s="10" t="s">
        <v>20</v>
      </c>
      <c r="F7" s="10" t="s">
        <v>68</v>
      </c>
      <c r="H7" s="10">
        <v>2</v>
      </c>
      <c r="I7" s="10" t="s">
        <v>278</v>
      </c>
      <c r="J7" s="10" t="s">
        <v>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topLeftCell="B1" workbookViewId="0">
      <selection activeCell="A3" sqref="A3:J5"/>
    </sheetView>
  </sheetViews>
  <sheetFormatPr defaultColWidth="8.81640625" defaultRowHeight="14" x14ac:dyDescent="0.3"/>
  <cols>
    <col min="1" max="1" width="20" style="10" bestFit="1" customWidth="1"/>
    <col min="2" max="2" width="20.453125" style="10" bestFit="1" customWidth="1"/>
    <col min="3" max="3" width="68.08984375" style="10" bestFit="1" customWidth="1"/>
    <col min="4" max="4" width="17.453125" style="10" customWidth="1"/>
    <col min="5" max="6" width="8.81640625" style="10"/>
    <col min="7" max="7" width="14.08984375" style="10" bestFit="1" customWidth="1"/>
    <col min="8" max="8" width="12.90625" style="10" bestFit="1" customWidth="1"/>
    <col min="9" max="9" width="17.36328125" style="10" bestFit="1" customWidth="1"/>
    <col min="10" max="10" width="28.90625" style="10" bestFit="1" customWidth="1"/>
    <col min="11" max="11" width="19.81640625" style="10" bestFit="1" customWidth="1"/>
    <col min="12" max="16384" width="8.81640625" style="10"/>
  </cols>
  <sheetData>
    <row r="1" spans="1:10" ht="36" x14ac:dyDescent="0.4">
      <c r="A1" s="9" t="s">
        <v>11</v>
      </c>
      <c r="B1" s="9" t="s">
        <v>12</v>
      </c>
      <c r="C1" s="9" t="s">
        <v>9</v>
      </c>
      <c r="D1" s="9" t="s">
        <v>13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17</v>
      </c>
      <c r="J1" s="9" t="s">
        <v>18</v>
      </c>
    </row>
    <row r="2" spans="1:10" x14ac:dyDescent="0.3">
      <c r="A2" s="7" t="s">
        <v>294</v>
      </c>
      <c r="B2" s="10" t="s">
        <v>294</v>
      </c>
      <c r="C2" s="10" t="s">
        <v>229</v>
      </c>
      <c r="D2" s="10" t="s">
        <v>20</v>
      </c>
      <c r="E2" s="10" t="s">
        <v>220</v>
      </c>
      <c r="F2" s="10" t="s">
        <v>63</v>
      </c>
      <c r="G2" s="10" t="s">
        <v>135</v>
      </c>
      <c r="H2" s="10">
        <v>9001</v>
      </c>
      <c r="I2" s="10" t="s">
        <v>31</v>
      </c>
      <c r="J2" s="10" t="s">
        <v>221</v>
      </c>
    </row>
    <row r="3" spans="1:10" x14ac:dyDescent="0.3">
      <c r="A3" s="7" t="s">
        <v>288</v>
      </c>
      <c r="B3" s="10" t="s">
        <v>292</v>
      </c>
      <c r="C3" s="10" t="s">
        <v>230</v>
      </c>
      <c r="D3" s="10" t="s">
        <v>20</v>
      </c>
      <c r="E3" s="10" t="s">
        <v>219</v>
      </c>
      <c r="F3" s="10" t="s">
        <v>63</v>
      </c>
      <c r="H3" s="10">
        <v>20250520</v>
      </c>
      <c r="I3" s="10" t="s">
        <v>223</v>
      </c>
      <c r="J3" s="10" t="s">
        <v>218</v>
      </c>
    </row>
    <row r="4" spans="1:10" x14ac:dyDescent="0.3">
      <c r="A4" s="7" t="s">
        <v>289</v>
      </c>
      <c r="B4" s="10" t="s">
        <v>289</v>
      </c>
      <c r="C4" s="10" t="s">
        <v>231</v>
      </c>
      <c r="D4" s="10" t="s">
        <v>20</v>
      </c>
      <c r="E4" s="10" t="s">
        <v>219</v>
      </c>
      <c r="F4" s="10" t="s">
        <v>63</v>
      </c>
      <c r="H4" s="10">
        <v>301</v>
      </c>
      <c r="I4" s="10" t="s">
        <v>225</v>
      </c>
      <c r="J4" s="10" t="s">
        <v>196</v>
      </c>
    </row>
    <row r="5" spans="1:10" x14ac:dyDescent="0.3">
      <c r="A5" s="7" t="s">
        <v>396</v>
      </c>
      <c r="B5" s="10" t="s">
        <v>396</v>
      </c>
      <c r="C5" s="10" t="s">
        <v>404</v>
      </c>
      <c r="D5" s="10" t="s">
        <v>20</v>
      </c>
      <c r="E5" s="10" t="s">
        <v>219</v>
      </c>
      <c r="F5" s="10" t="s">
        <v>63</v>
      </c>
      <c r="H5" s="10">
        <v>1001</v>
      </c>
      <c r="I5" s="10" t="s">
        <v>233</v>
      </c>
      <c r="J5" s="10" t="s">
        <v>293</v>
      </c>
    </row>
    <row r="6" spans="1:10" x14ac:dyDescent="0.3">
      <c r="A6" s="7" t="s">
        <v>295</v>
      </c>
      <c r="B6" s="10" t="s">
        <v>295</v>
      </c>
      <c r="C6" s="10" t="s">
        <v>232</v>
      </c>
      <c r="D6" s="10" t="s">
        <v>20</v>
      </c>
      <c r="E6" s="10" t="s">
        <v>219</v>
      </c>
      <c r="F6" s="10" t="s">
        <v>63</v>
      </c>
      <c r="H6" s="10">
        <v>1001</v>
      </c>
      <c r="I6" s="10" t="s">
        <v>233</v>
      </c>
      <c r="J6" s="10" t="s">
        <v>293</v>
      </c>
    </row>
    <row r="7" spans="1:10" s="1" customFormat="1" ht="14.5" x14ac:dyDescent="0.35">
      <c r="A7" s="7" t="s">
        <v>201</v>
      </c>
      <c r="B7" s="10" t="s">
        <v>202</v>
      </c>
      <c r="C7" s="10" t="s">
        <v>203</v>
      </c>
      <c r="D7" s="10" t="s">
        <v>20</v>
      </c>
      <c r="E7" s="10"/>
      <c r="F7" s="10" t="s">
        <v>68</v>
      </c>
      <c r="G7" s="10">
        <v>0</v>
      </c>
      <c r="H7" s="10" t="s">
        <v>204</v>
      </c>
      <c r="I7" s="10" t="s">
        <v>233</v>
      </c>
      <c r="J7" s="10" t="s">
        <v>205</v>
      </c>
    </row>
    <row r="8" spans="1:10" s="1" customFormat="1" ht="14.5" x14ac:dyDescent="0.35">
      <c r="A8" s="7" t="s">
        <v>206</v>
      </c>
      <c r="B8" s="10" t="s">
        <v>207</v>
      </c>
      <c r="C8" s="10" t="s">
        <v>208</v>
      </c>
      <c r="D8" s="10" t="s">
        <v>20</v>
      </c>
      <c r="E8" s="10"/>
      <c r="F8" s="10" t="s">
        <v>68</v>
      </c>
      <c r="G8" s="10" t="s">
        <v>54</v>
      </c>
      <c r="H8" s="10">
        <v>15</v>
      </c>
      <c r="I8" s="10" t="s">
        <v>233</v>
      </c>
      <c r="J8" s="10" t="s">
        <v>209</v>
      </c>
    </row>
    <row r="9" spans="1:10" x14ac:dyDescent="0.3">
      <c r="A9" s="7" t="s">
        <v>419</v>
      </c>
      <c r="B9" s="10" t="s">
        <v>419</v>
      </c>
      <c r="C9" s="10" t="s">
        <v>422</v>
      </c>
      <c r="D9" s="10" t="s">
        <v>41</v>
      </c>
      <c r="F9" s="10" t="s">
        <v>68</v>
      </c>
      <c r="G9" s="10" t="b">
        <v>0</v>
      </c>
      <c r="H9" s="10" t="b">
        <v>0</v>
      </c>
      <c r="I9" s="10" t="s">
        <v>233</v>
      </c>
      <c r="J9" s="10" t="s">
        <v>423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sqref="A1:XFD1"/>
    </sheetView>
  </sheetViews>
  <sheetFormatPr defaultRowHeight="14.5" x14ac:dyDescent="0.35"/>
  <cols>
    <col min="1" max="1" width="42.90625" customWidth="1"/>
    <col min="2" max="2" width="20.08984375" bestFit="1" customWidth="1"/>
    <col min="3" max="3" width="53.36328125" bestFit="1" customWidth="1"/>
    <col min="4" max="4" width="13.36328125" customWidth="1"/>
    <col min="7" max="7" width="14.08984375" bestFit="1" customWidth="1"/>
    <col min="8" max="8" width="17.90625" bestFit="1" customWidth="1"/>
    <col min="9" max="9" width="20.90625" bestFit="1" customWidth="1"/>
    <col min="10" max="10" width="35.453125" bestFit="1" customWidth="1"/>
  </cols>
  <sheetData>
    <row r="1" spans="1:12" ht="36" x14ac:dyDescent="0.4">
      <c r="A1" s="9" t="s">
        <v>11</v>
      </c>
      <c r="B1" s="9" t="s">
        <v>12</v>
      </c>
      <c r="C1" s="9" t="s">
        <v>9</v>
      </c>
      <c r="D1" s="9" t="s">
        <v>13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17</v>
      </c>
      <c r="J1" s="9" t="s">
        <v>18</v>
      </c>
    </row>
    <row r="2" spans="1:12" x14ac:dyDescent="0.35">
      <c r="A2" s="7" t="s">
        <v>296</v>
      </c>
      <c r="B2" s="10" t="s">
        <v>296</v>
      </c>
      <c r="C2" s="10" t="s">
        <v>226</v>
      </c>
      <c r="D2" s="10" t="s">
        <v>20</v>
      </c>
      <c r="E2" s="10" t="s">
        <v>220</v>
      </c>
      <c r="F2" s="10" t="s">
        <v>22</v>
      </c>
      <c r="G2" s="10" t="s">
        <v>135</v>
      </c>
      <c r="H2" s="10">
        <v>10</v>
      </c>
      <c r="I2" s="10" t="s">
        <v>31</v>
      </c>
      <c r="J2" s="10" t="s">
        <v>221</v>
      </c>
      <c r="L2" s="10"/>
    </row>
    <row r="3" spans="1:12" x14ac:dyDescent="0.35">
      <c r="A3" s="7" t="s">
        <v>292</v>
      </c>
      <c r="B3" s="10" t="s">
        <v>292</v>
      </c>
      <c r="C3" s="10" t="s">
        <v>222</v>
      </c>
      <c r="D3" s="10" t="s">
        <v>20</v>
      </c>
      <c r="E3" s="10" t="s">
        <v>219</v>
      </c>
      <c r="F3" s="10" t="s">
        <v>22</v>
      </c>
      <c r="G3" s="10"/>
      <c r="H3" s="10">
        <v>20230601</v>
      </c>
      <c r="I3" s="10" t="s">
        <v>227</v>
      </c>
      <c r="J3" s="10" t="s">
        <v>218</v>
      </c>
      <c r="L3" s="10"/>
    </row>
    <row r="4" spans="1:12" x14ac:dyDescent="0.35">
      <c r="A4" s="7" t="s">
        <v>289</v>
      </c>
      <c r="B4" s="10" t="s">
        <v>289</v>
      </c>
      <c r="C4" s="10" t="s">
        <v>224</v>
      </c>
      <c r="D4" s="10" t="s">
        <v>20</v>
      </c>
      <c r="E4" s="10" t="s">
        <v>219</v>
      </c>
      <c r="F4" s="10" t="s">
        <v>22</v>
      </c>
      <c r="G4" s="10"/>
      <c r="H4" s="10">
        <v>501</v>
      </c>
      <c r="I4" s="10" t="s">
        <v>228</v>
      </c>
      <c r="J4" s="10" t="s">
        <v>403</v>
      </c>
      <c r="L4" s="10"/>
    </row>
    <row r="5" spans="1:12" x14ac:dyDescent="0.35">
      <c r="A5" s="7" t="s">
        <v>396</v>
      </c>
      <c r="B5" s="10" t="s">
        <v>396</v>
      </c>
      <c r="C5" s="10" t="s">
        <v>397</v>
      </c>
      <c r="D5" s="10" t="s">
        <v>20</v>
      </c>
      <c r="E5" s="10" t="s">
        <v>219</v>
      </c>
      <c r="F5" s="10" t="s">
        <v>22</v>
      </c>
      <c r="H5" s="10">
        <v>501</v>
      </c>
      <c r="I5" s="10" t="s">
        <v>399</v>
      </c>
      <c r="J5" s="10" t="s">
        <v>401</v>
      </c>
    </row>
    <row r="6" spans="1:12" x14ac:dyDescent="0.35">
      <c r="A6" s="7" t="s">
        <v>387</v>
      </c>
      <c r="B6" s="10" t="s">
        <v>387</v>
      </c>
      <c r="C6" s="10" t="s">
        <v>398</v>
      </c>
      <c r="D6" s="10" t="s">
        <v>20</v>
      </c>
      <c r="E6" s="10" t="s">
        <v>219</v>
      </c>
      <c r="F6" s="10" t="s">
        <v>22</v>
      </c>
      <c r="H6" s="10">
        <v>13</v>
      </c>
      <c r="I6" s="10" t="s">
        <v>400</v>
      </c>
      <c r="J6" s="10" t="s">
        <v>402</v>
      </c>
      <c r="L6" s="10"/>
    </row>
    <row r="7" spans="1:12" x14ac:dyDescent="0.35">
      <c r="A7" s="7" t="s">
        <v>439</v>
      </c>
      <c r="B7" s="10" t="s">
        <v>439</v>
      </c>
      <c r="C7" s="10" t="s">
        <v>441</v>
      </c>
      <c r="D7" s="10" t="s">
        <v>20</v>
      </c>
      <c r="F7" s="10" t="s">
        <v>445</v>
      </c>
      <c r="H7" s="10">
        <v>12</v>
      </c>
      <c r="I7" s="10" t="s">
        <v>347</v>
      </c>
      <c r="J7" s="10" t="s">
        <v>447</v>
      </c>
    </row>
    <row r="8" spans="1:12" x14ac:dyDescent="0.35">
      <c r="A8" s="7" t="s">
        <v>414</v>
      </c>
      <c r="B8" s="10" t="s">
        <v>414</v>
      </c>
      <c r="C8" s="10" t="s">
        <v>442</v>
      </c>
      <c r="D8" s="10" t="s">
        <v>20</v>
      </c>
      <c r="F8" s="10" t="s">
        <v>445</v>
      </c>
      <c r="H8" s="10">
        <v>7</v>
      </c>
      <c r="I8" s="10" t="s">
        <v>347</v>
      </c>
      <c r="J8" s="10" t="s">
        <v>446</v>
      </c>
    </row>
    <row r="9" spans="1:12" x14ac:dyDescent="0.35">
      <c r="A9" s="7" t="s">
        <v>440</v>
      </c>
      <c r="B9" s="10" t="s">
        <v>440</v>
      </c>
      <c r="C9" s="10" t="s">
        <v>443</v>
      </c>
      <c r="D9" s="10" t="s">
        <v>20</v>
      </c>
      <c r="F9" s="10" t="s">
        <v>445</v>
      </c>
      <c r="H9" s="10">
        <v>25</v>
      </c>
      <c r="I9" s="10" t="s">
        <v>347</v>
      </c>
      <c r="J9" s="10" t="s">
        <v>448</v>
      </c>
    </row>
    <row r="10" spans="1:12" x14ac:dyDescent="0.35">
      <c r="A10" s="7" t="s">
        <v>416</v>
      </c>
      <c r="B10" s="10" t="s">
        <v>416</v>
      </c>
      <c r="C10" s="10" t="s">
        <v>444</v>
      </c>
      <c r="D10" s="10" t="s">
        <v>20</v>
      </c>
      <c r="F10" s="10" t="s">
        <v>445</v>
      </c>
      <c r="H10" s="10">
        <v>2500</v>
      </c>
      <c r="I10" s="10" t="s">
        <v>347</v>
      </c>
      <c r="J10" s="10" t="s">
        <v>449</v>
      </c>
    </row>
    <row r="11" spans="1:12" x14ac:dyDescent="0.35">
      <c r="A11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6C14-B558-43B3-9C57-256E47EF4AB4}">
  <dimension ref="A1:K5"/>
  <sheetViews>
    <sheetView workbookViewId="0">
      <selection activeCell="K4" sqref="K4"/>
    </sheetView>
  </sheetViews>
  <sheetFormatPr defaultColWidth="8.81640625" defaultRowHeight="14" x14ac:dyDescent="0.3"/>
  <cols>
    <col min="1" max="2" width="13.1796875" style="10" bestFit="1" customWidth="1"/>
    <col min="3" max="3" width="26.453125" style="10" bestFit="1" customWidth="1"/>
    <col min="4" max="4" width="15.36328125" style="10" bestFit="1" customWidth="1"/>
    <col min="5" max="5" width="7.1796875" style="10" bestFit="1" customWidth="1"/>
    <col min="6" max="6" width="9.1796875" style="10" bestFit="1" customWidth="1"/>
    <col min="7" max="7" width="16.81640625" style="10" bestFit="1" customWidth="1"/>
    <col min="8" max="8" width="52" style="10" bestFit="1" customWidth="1"/>
    <col min="9" max="9" width="7.08984375" style="10" bestFit="1" customWidth="1"/>
    <col min="10" max="10" width="40.453125" style="10" bestFit="1" customWidth="1"/>
    <col min="11" max="11" width="32.1796875" style="10" bestFit="1" customWidth="1"/>
    <col min="12" max="16384" width="8.81640625" style="10"/>
  </cols>
  <sheetData>
    <row r="1" spans="1:11" ht="36" x14ac:dyDescent="0.4">
      <c r="A1" s="9" t="s">
        <v>11</v>
      </c>
      <c r="B1" s="9" t="s">
        <v>12</v>
      </c>
      <c r="C1" s="9" t="s">
        <v>9</v>
      </c>
      <c r="D1" s="9" t="s">
        <v>234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">
      <c r="A2" s="7" t="s">
        <v>483</v>
      </c>
      <c r="B2" s="7" t="s">
        <v>483</v>
      </c>
      <c r="C2" s="10" t="s">
        <v>322</v>
      </c>
      <c r="D2" s="10" t="s">
        <v>20</v>
      </c>
      <c r="E2" s="10" t="s">
        <v>21</v>
      </c>
      <c r="F2" s="10" t="s">
        <v>63</v>
      </c>
      <c r="G2" s="10" t="s">
        <v>451</v>
      </c>
      <c r="H2" s="10">
        <v>1</v>
      </c>
      <c r="I2" s="10" t="s">
        <v>467</v>
      </c>
      <c r="J2" s="10" t="s">
        <v>31</v>
      </c>
      <c r="K2" s="10" t="s">
        <v>271</v>
      </c>
    </row>
    <row r="3" spans="1:11" x14ac:dyDescent="0.3">
      <c r="A3" s="7" t="s">
        <v>486</v>
      </c>
      <c r="B3" s="10" t="s">
        <v>486</v>
      </c>
      <c r="C3" s="10" t="s">
        <v>486</v>
      </c>
      <c r="D3" s="10" t="s">
        <v>20</v>
      </c>
      <c r="E3" s="10" t="s">
        <v>21</v>
      </c>
      <c r="F3" s="10" t="s">
        <v>63</v>
      </c>
      <c r="G3" s="10" t="s">
        <v>54</v>
      </c>
      <c r="H3" s="10" t="s">
        <v>487</v>
      </c>
      <c r="I3" s="10" t="s">
        <v>467</v>
      </c>
      <c r="J3" s="10" t="s">
        <v>31</v>
      </c>
      <c r="K3" s="10" t="s">
        <v>488</v>
      </c>
    </row>
    <row r="4" spans="1:11" x14ac:dyDescent="0.3">
      <c r="A4" s="7" t="s">
        <v>482</v>
      </c>
      <c r="B4" s="7" t="s">
        <v>482</v>
      </c>
      <c r="C4" s="10" t="s">
        <v>343</v>
      </c>
      <c r="D4" s="10" t="s">
        <v>67</v>
      </c>
      <c r="F4" s="10" t="s">
        <v>63</v>
      </c>
      <c r="G4" s="10" t="s">
        <v>54</v>
      </c>
      <c r="H4" s="11">
        <v>45807</v>
      </c>
      <c r="I4" s="10">
        <v>1</v>
      </c>
      <c r="J4" s="10" t="s">
        <v>347</v>
      </c>
      <c r="K4" s="10" t="s">
        <v>352</v>
      </c>
    </row>
    <row r="5" spans="1:11" x14ac:dyDescent="0.3">
      <c r="A5" s="7" t="s">
        <v>484</v>
      </c>
      <c r="B5" s="7" t="s">
        <v>484</v>
      </c>
      <c r="C5" s="10" t="s">
        <v>485</v>
      </c>
      <c r="D5" s="10" t="s">
        <v>67</v>
      </c>
      <c r="F5" s="10" t="s">
        <v>68</v>
      </c>
      <c r="G5" s="10" t="s">
        <v>54</v>
      </c>
      <c r="H5" s="15">
        <v>0.45833333333333331</v>
      </c>
      <c r="I5" s="10">
        <v>1</v>
      </c>
      <c r="J5" s="10" t="s">
        <v>348</v>
      </c>
      <c r="K5" s="10" t="s">
        <v>353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"/>
  <sheetViews>
    <sheetView workbookViewId="0">
      <selection activeCell="A10" sqref="A10:XFD12"/>
    </sheetView>
  </sheetViews>
  <sheetFormatPr defaultColWidth="8.81640625" defaultRowHeight="14" x14ac:dyDescent="0.3"/>
  <cols>
    <col min="1" max="1" width="23.90625" style="10" bestFit="1" customWidth="1"/>
    <col min="2" max="2" width="23.453125" style="10" bestFit="1" customWidth="1"/>
    <col min="3" max="3" width="52.81640625" style="10" bestFit="1" customWidth="1"/>
    <col min="4" max="4" width="37.90625" style="10" bestFit="1" customWidth="1"/>
    <col min="5" max="5" width="7.1796875" style="10" bestFit="1" customWidth="1"/>
    <col min="6" max="6" width="7.81640625" style="10" bestFit="1" customWidth="1"/>
    <col min="7" max="7" width="14.08984375" style="10" bestFit="1" customWidth="1"/>
    <col min="8" max="8" width="17" style="10" bestFit="1" customWidth="1"/>
    <col min="9" max="9" width="12.36328125" style="10" customWidth="1"/>
    <col min="10" max="10" width="27.81640625" style="10" bestFit="1" customWidth="1"/>
    <col min="11" max="11" width="34.36328125" style="10" bestFit="1" customWidth="1"/>
    <col min="12" max="16384" width="8.81640625" style="10"/>
  </cols>
  <sheetData>
    <row r="1" spans="1:11" ht="36" x14ac:dyDescent="0.4">
      <c r="A1" s="9" t="s">
        <v>11</v>
      </c>
      <c r="B1" s="9" t="s">
        <v>12</v>
      </c>
      <c r="C1" s="9" t="s">
        <v>9</v>
      </c>
      <c r="D1" s="9" t="s">
        <v>234</v>
      </c>
      <c r="E1" s="9" t="s">
        <v>61</v>
      </c>
      <c r="F1" s="9" t="s">
        <v>62</v>
      </c>
      <c r="G1" s="9" t="s">
        <v>14</v>
      </c>
      <c r="H1" s="9" t="s">
        <v>235</v>
      </c>
      <c r="I1" s="9" t="s">
        <v>16</v>
      </c>
      <c r="J1" s="9" t="s">
        <v>17</v>
      </c>
      <c r="K1" s="9" t="s">
        <v>18</v>
      </c>
    </row>
    <row r="2" spans="1:11" x14ac:dyDescent="0.3">
      <c r="A2" s="7" t="s">
        <v>286</v>
      </c>
      <c r="B2" s="10" t="s">
        <v>286</v>
      </c>
      <c r="C2" s="10" t="s">
        <v>236</v>
      </c>
      <c r="D2" s="10" t="s">
        <v>20</v>
      </c>
      <c r="E2" s="10" t="s">
        <v>21</v>
      </c>
      <c r="F2" s="10" t="s">
        <v>63</v>
      </c>
      <c r="G2" s="10" t="s">
        <v>135</v>
      </c>
      <c r="H2" s="10">
        <v>1001</v>
      </c>
      <c r="I2" s="10" t="s">
        <v>467</v>
      </c>
      <c r="J2" s="10" t="s">
        <v>31</v>
      </c>
      <c r="K2" s="10" t="s">
        <v>237</v>
      </c>
    </row>
    <row r="3" spans="1:11" x14ac:dyDescent="0.3">
      <c r="A3" s="7" t="s">
        <v>238</v>
      </c>
      <c r="B3" s="10" t="s">
        <v>239</v>
      </c>
      <c r="C3" s="10" t="s">
        <v>240</v>
      </c>
      <c r="D3" s="10" t="s">
        <v>67</v>
      </c>
      <c r="F3" s="10" t="s">
        <v>63</v>
      </c>
      <c r="G3" s="10" t="s">
        <v>54</v>
      </c>
      <c r="H3" s="10" t="s">
        <v>453</v>
      </c>
      <c r="I3" s="10">
        <v>1</v>
      </c>
      <c r="J3" s="10" t="s">
        <v>241</v>
      </c>
      <c r="K3" s="10" t="s">
        <v>242</v>
      </c>
    </row>
    <row r="4" spans="1:11" x14ac:dyDescent="0.3">
      <c r="A4" s="7" t="s">
        <v>243</v>
      </c>
      <c r="B4" s="10" t="s">
        <v>244</v>
      </c>
      <c r="C4" s="10" t="s">
        <v>245</v>
      </c>
      <c r="D4" s="10" t="s">
        <v>67</v>
      </c>
      <c r="F4" s="10" t="s">
        <v>63</v>
      </c>
      <c r="G4" s="10" t="s">
        <v>54</v>
      </c>
      <c r="H4" s="10" t="s">
        <v>454</v>
      </c>
      <c r="I4" s="10">
        <v>1</v>
      </c>
      <c r="J4" s="10" t="s">
        <v>246</v>
      </c>
      <c r="K4" s="10" t="s">
        <v>247</v>
      </c>
    </row>
    <row r="5" spans="1:11" x14ac:dyDescent="0.3">
      <c r="A5" s="7" t="s">
        <v>248</v>
      </c>
      <c r="B5" s="10" t="s">
        <v>248</v>
      </c>
      <c r="C5" s="10" t="s">
        <v>249</v>
      </c>
      <c r="D5" s="10" t="s">
        <v>20</v>
      </c>
      <c r="F5" s="10" t="s">
        <v>63</v>
      </c>
      <c r="G5" s="10">
        <v>0</v>
      </c>
      <c r="H5" s="10">
        <v>5000</v>
      </c>
      <c r="I5" s="10">
        <v>1</v>
      </c>
      <c r="J5" s="10" t="s">
        <v>250</v>
      </c>
      <c r="K5" s="10" t="s">
        <v>251</v>
      </c>
    </row>
    <row r="6" spans="1:11" x14ac:dyDescent="0.3">
      <c r="A6" s="7" t="s">
        <v>252</v>
      </c>
      <c r="B6" s="10" t="s">
        <v>252</v>
      </c>
      <c r="C6" s="10" t="s">
        <v>253</v>
      </c>
      <c r="D6" s="10" t="s">
        <v>67</v>
      </c>
      <c r="F6" s="10" t="s">
        <v>63</v>
      </c>
      <c r="G6" s="10" t="s">
        <v>54</v>
      </c>
      <c r="H6" s="10" t="s">
        <v>455</v>
      </c>
      <c r="I6" s="10">
        <v>1</v>
      </c>
      <c r="J6" s="10" t="s">
        <v>254</v>
      </c>
      <c r="K6" s="10" t="s">
        <v>255</v>
      </c>
    </row>
    <row r="7" spans="1:11" x14ac:dyDescent="0.3">
      <c r="A7" s="7" t="s">
        <v>256</v>
      </c>
      <c r="B7" s="10" t="s">
        <v>257</v>
      </c>
      <c r="C7" s="10" t="s">
        <v>258</v>
      </c>
      <c r="D7" s="10" t="s">
        <v>67</v>
      </c>
      <c r="F7" s="10" t="s">
        <v>68</v>
      </c>
      <c r="G7" s="10" t="s">
        <v>54</v>
      </c>
      <c r="H7" s="10" t="s">
        <v>456</v>
      </c>
      <c r="I7" s="10">
        <v>1</v>
      </c>
      <c r="J7" s="10" t="s">
        <v>259</v>
      </c>
      <c r="K7" s="10" t="s">
        <v>260</v>
      </c>
    </row>
    <row r="8" spans="1:11" x14ac:dyDescent="0.3">
      <c r="A8" s="7" t="s">
        <v>261</v>
      </c>
      <c r="B8" s="10" t="s">
        <v>262</v>
      </c>
      <c r="C8" s="10" t="s">
        <v>263</v>
      </c>
      <c r="D8" s="10" t="s">
        <v>67</v>
      </c>
      <c r="F8" s="10" t="s">
        <v>68</v>
      </c>
      <c r="G8" s="10" t="s">
        <v>54</v>
      </c>
      <c r="H8" s="10" t="s">
        <v>457</v>
      </c>
      <c r="I8" s="10">
        <v>1</v>
      </c>
      <c r="J8" s="10" t="s">
        <v>268</v>
      </c>
      <c r="K8" s="10" t="s">
        <v>269</v>
      </c>
    </row>
    <row r="9" spans="1:11" x14ac:dyDescent="0.3">
      <c r="A9" s="7" t="s">
        <v>264</v>
      </c>
      <c r="B9" s="10" t="s">
        <v>265</v>
      </c>
      <c r="C9" s="10" t="s">
        <v>266</v>
      </c>
      <c r="D9" s="10" t="s">
        <v>67</v>
      </c>
      <c r="F9" s="10" t="s">
        <v>68</v>
      </c>
      <c r="G9" s="10" t="s">
        <v>54</v>
      </c>
      <c r="H9" s="10" t="s">
        <v>458</v>
      </c>
      <c r="I9" s="10">
        <v>1</v>
      </c>
      <c r="J9" s="10" t="s">
        <v>268</v>
      </c>
      <c r="K9" s="10" t="s">
        <v>267</v>
      </c>
    </row>
    <row r="10" spans="1:11" x14ac:dyDescent="0.3">
      <c r="A10" s="7"/>
    </row>
    <row r="11" spans="1:11" x14ac:dyDescent="0.3">
      <c r="A11" s="7"/>
    </row>
    <row r="12" spans="1:11" x14ac:dyDescent="0.3">
      <c r="A1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8"/>
  <sheetViews>
    <sheetView workbookViewId="0">
      <selection activeCell="A13" sqref="A13:XFD18"/>
    </sheetView>
  </sheetViews>
  <sheetFormatPr defaultColWidth="8.81640625" defaultRowHeight="14" x14ac:dyDescent="0.3"/>
  <cols>
    <col min="1" max="1" width="19.36328125" style="10" bestFit="1" customWidth="1"/>
    <col min="2" max="2" width="19.453125" style="10" customWidth="1"/>
    <col min="3" max="3" width="51.08984375" style="10" bestFit="1" customWidth="1"/>
    <col min="4" max="4" width="15.36328125" style="10" bestFit="1" customWidth="1"/>
    <col min="5" max="5" width="7.81640625" style="10" bestFit="1" customWidth="1"/>
    <col min="6" max="6" width="8.81640625" style="10"/>
    <col min="7" max="7" width="13.81640625" style="10" bestFit="1" customWidth="1"/>
    <col min="8" max="8" width="19.6328125" style="10" customWidth="1"/>
    <col min="9" max="9" width="21.1796875" style="10" bestFit="1" customWidth="1"/>
    <col min="10" max="10" width="41" style="10" bestFit="1" customWidth="1"/>
    <col min="11" max="11" width="39.6328125" style="10" bestFit="1" customWidth="1"/>
    <col min="12" max="16384" width="8.81640625" style="10"/>
  </cols>
  <sheetData>
    <row r="1" spans="1:11" ht="36" x14ac:dyDescent="0.4">
      <c r="A1" s="9" t="s">
        <v>11</v>
      </c>
      <c r="B1" s="9" t="s">
        <v>12</v>
      </c>
      <c r="C1" s="9" t="s">
        <v>9</v>
      </c>
      <c r="D1" s="9" t="s">
        <v>13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">
      <c r="A2" s="7" t="s">
        <v>466</v>
      </c>
      <c r="B2" s="10" t="s">
        <v>466</v>
      </c>
      <c r="C2" s="10" t="s">
        <v>214</v>
      </c>
      <c r="D2" s="10" t="s">
        <v>20</v>
      </c>
      <c r="E2" s="10" t="s">
        <v>21</v>
      </c>
      <c r="F2" s="10" t="s">
        <v>63</v>
      </c>
      <c r="G2" s="10" t="s">
        <v>64</v>
      </c>
      <c r="H2" s="10">
        <v>101</v>
      </c>
      <c r="I2" s="10" t="s">
        <v>467</v>
      </c>
      <c r="J2" s="10" t="s">
        <v>31</v>
      </c>
      <c r="K2" s="10" t="s">
        <v>135</v>
      </c>
    </row>
    <row r="3" spans="1:11" x14ac:dyDescent="0.3">
      <c r="A3" s="7" t="s">
        <v>94</v>
      </c>
      <c r="B3" s="10" t="s">
        <v>94</v>
      </c>
      <c r="C3" s="10" t="s">
        <v>236</v>
      </c>
      <c r="D3" s="10" t="s">
        <v>20</v>
      </c>
      <c r="F3" s="10" t="s">
        <v>63</v>
      </c>
      <c r="G3" s="10">
        <v>0</v>
      </c>
      <c r="H3" s="10">
        <v>102</v>
      </c>
      <c r="I3" s="10" t="s">
        <v>467</v>
      </c>
      <c r="J3" s="10" t="s">
        <v>31</v>
      </c>
      <c r="K3" s="10" t="s">
        <v>468</v>
      </c>
    </row>
    <row r="4" spans="1:11" x14ac:dyDescent="0.3">
      <c r="A4" s="7" t="s">
        <v>149</v>
      </c>
      <c r="B4" s="10" t="s">
        <v>210</v>
      </c>
      <c r="C4" s="10" t="s">
        <v>217</v>
      </c>
      <c r="D4" s="10" t="s">
        <v>67</v>
      </c>
      <c r="F4" s="10" t="s">
        <v>63</v>
      </c>
      <c r="G4" s="10" t="s">
        <v>54</v>
      </c>
      <c r="H4" s="10" t="s">
        <v>211</v>
      </c>
      <c r="I4" s="10">
        <v>0</v>
      </c>
      <c r="J4" s="10" t="s">
        <v>212</v>
      </c>
      <c r="K4" s="10" t="s">
        <v>150</v>
      </c>
    </row>
    <row r="5" spans="1:11" x14ac:dyDescent="0.3">
      <c r="A5" s="7" t="s">
        <v>96</v>
      </c>
      <c r="B5" s="10" t="s">
        <v>97</v>
      </c>
      <c r="C5" s="10" t="s">
        <v>98</v>
      </c>
      <c r="D5" s="10" t="s">
        <v>67</v>
      </c>
      <c r="F5" s="10" t="s">
        <v>68</v>
      </c>
      <c r="G5" s="10" t="s">
        <v>54</v>
      </c>
      <c r="H5" s="10" t="s">
        <v>99</v>
      </c>
      <c r="I5" s="10">
        <v>1</v>
      </c>
      <c r="J5" s="10" t="s">
        <v>100</v>
      </c>
      <c r="K5" s="10" t="s">
        <v>101</v>
      </c>
    </row>
    <row r="6" spans="1:11" x14ac:dyDescent="0.3">
      <c r="A6" s="7" t="s">
        <v>102</v>
      </c>
      <c r="B6" s="10" t="s">
        <v>102</v>
      </c>
      <c r="C6" s="10" t="s">
        <v>103</v>
      </c>
      <c r="D6" s="10" t="s">
        <v>20</v>
      </c>
      <c r="F6" s="10" t="s">
        <v>68</v>
      </c>
      <c r="G6" s="10" t="s">
        <v>54</v>
      </c>
      <c r="H6" s="10">
        <v>17</v>
      </c>
      <c r="I6" s="10">
        <v>2</v>
      </c>
      <c r="J6" s="10" t="s">
        <v>100</v>
      </c>
      <c r="K6" s="10" t="s">
        <v>104</v>
      </c>
    </row>
    <row r="7" spans="1:11" x14ac:dyDescent="0.3">
      <c r="A7" s="7" t="s">
        <v>105</v>
      </c>
      <c r="B7" s="10" t="s">
        <v>106</v>
      </c>
      <c r="C7" s="10" t="s">
        <v>107</v>
      </c>
      <c r="D7" s="10" t="s">
        <v>67</v>
      </c>
      <c r="F7" s="10" t="s">
        <v>68</v>
      </c>
      <c r="G7" s="10" t="s">
        <v>54</v>
      </c>
      <c r="H7" s="10" t="s">
        <v>216</v>
      </c>
      <c r="I7" s="10">
        <v>2</v>
      </c>
      <c r="J7" s="10" t="s">
        <v>108</v>
      </c>
      <c r="K7" s="10" t="s">
        <v>109</v>
      </c>
    </row>
    <row r="8" spans="1:11" x14ac:dyDescent="0.3">
      <c r="A8" s="7" t="s">
        <v>110</v>
      </c>
      <c r="B8" s="10" t="s">
        <v>111</v>
      </c>
      <c r="C8" s="10" t="s">
        <v>112</v>
      </c>
      <c r="D8" s="10" t="s">
        <v>28</v>
      </c>
      <c r="F8" s="10" t="s">
        <v>68</v>
      </c>
      <c r="G8" s="10" t="s">
        <v>54</v>
      </c>
      <c r="H8" s="11">
        <v>38819</v>
      </c>
      <c r="I8" s="10">
        <v>1</v>
      </c>
      <c r="J8" s="10" t="s">
        <v>100</v>
      </c>
      <c r="K8" s="10" t="s">
        <v>113</v>
      </c>
    </row>
    <row r="9" spans="1:11" x14ac:dyDescent="0.3">
      <c r="A9" s="7" t="s">
        <v>114</v>
      </c>
      <c r="B9" s="10" t="s">
        <v>115</v>
      </c>
      <c r="C9" s="10" t="s">
        <v>116</v>
      </c>
      <c r="D9" s="10" t="s">
        <v>67</v>
      </c>
      <c r="F9" s="10" t="s">
        <v>68</v>
      </c>
      <c r="G9" s="10" t="s">
        <v>54</v>
      </c>
      <c r="H9" s="10" t="s">
        <v>117</v>
      </c>
      <c r="I9" s="10">
        <v>1</v>
      </c>
      <c r="J9" s="10" t="s">
        <v>136</v>
      </c>
      <c r="K9" s="10" t="s">
        <v>118</v>
      </c>
    </row>
    <row r="10" spans="1:11" x14ac:dyDescent="0.3">
      <c r="A10" s="7" t="s">
        <v>119</v>
      </c>
      <c r="B10" s="10" t="s">
        <v>120</v>
      </c>
      <c r="C10" s="10" t="s">
        <v>121</v>
      </c>
      <c r="D10" s="10" t="s">
        <v>67</v>
      </c>
      <c r="F10" s="10" t="s">
        <v>68</v>
      </c>
      <c r="G10" s="10" t="s">
        <v>54</v>
      </c>
      <c r="H10" s="10" t="s">
        <v>215</v>
      </c>
      <c r="I10" s="10">
        <v>2</v>
      </c>
      <c r="J10" s="10" t="s">
        <v>122</v>
      </c>
      <c r="K10" s="10" t="s">
        <v>123</v>
      </c>
    </row>
    <row r="11" spans="1:11" x14ac:dyDescent="0.3">
      <c r="A11" s="7" t="s">
        <v>124</v>
      </c>
      <c r="B11" s="10" t="s">
        <v>124</v>
      </c>
      <c r="C11" s="10" t="s">
        <v>125</v>
      </c>
      <c r="D11" s="10" t="s">
        <v>67</v>
      </c>
      <c r="F11" s="10" t="s">
        <v>63</v>
      </c>
      <c r="G11" s="10" t="s">
        <v>54</v>
      </c>
      <c r="H11" s="10" t="s">
        <v>126</v>
      </c>
      <c r="I11" s="10">
        <v>1</v>
      </c>
      <c r="J11" s="10" t="s">
        <v>100</v>
      </c>
      <c r="K11" s="10" t="s">
        <v>127</v>
      </c>
    </row>
    <row r="12" spans="1:11" x14ac:dyDescent="0.3">
      <c r="A12" s="7" t="s">
        <v>128</v>
      </c>
      <c r="B12" s="10" t="s">
        <v>128</v>
      </c>
      <c r="C12" s="10" t="s">
        <v>129</v>
      </c>
      <c r="D12" s="10" t="s">
        <v>67</v>
      </c>
      <c r="F12" s="10" t="s">
        <v>68</v>
      </c>
      <c r="G12" s="10" t="s">
        <v>54</v>
      </c>
      <c r="H12" s="10" t="s">
        <v>130</v>
      </c>
      <c r="I12" s="10">
        <v>1</v>
      </c>
      <c r="J12" s="10" t="s">
        <v>131</v>
      </c>
      <c r="K12" s="10" t="s">
        <v>132</v>
      </c>
    </row>
    <row r="13" spans="1:11" x14ac:dyDescent="0.3">
      <c r="A13" s="7"/>
    </row>
    <row r="14" spans="1:11" x14ac:dyDescent="0.3">
      <c r="A14" s="7"/>
    </row>
    <row r="15" spans="1:11" x14ac:dyDescent="0.3">
      <c r="A15" s="7"/>
    </row>
    <row r="16" spans="1:11" x14ac:dyDescent="0.3">
      <c r="A16" s="7"/>
    </row>
    <row r="17" spans="1:1" x14ac:dyDescent="0.3">
      <c r="A17" s="7"/>
    </row>
    <row r="18" spans="1:1" x14ac:dyDescent="0.3">
      <c r="A18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5"/>
  <sheetViews>
    <sheetView zoomScale="95" workbookViewId="0">
      <selection activeCell="A2" sqref="A2:A15"/>
    </sheetView>
  </sheetViews>
  <sheetFormatPr defaultColWidth="8.81640625" defaultRowHeight="14" x14ac:dyDescent="0.3"/>
  <cols>
    <col min="1" max="1" width="25.1796875" style="2" customWidth="1"/>
    <col min="2" max="2" width="18.453125" style="2" bestFit="1" customWidth="1"/>
    <col min="3" max="3" width="53.90625" style="2" bestFit="1" customWidth="1"/>
    <col min="4" max="4" width="15.36328125" style="2" bestFit="1" customWidth="1"/>
    <col min="5" max="5" width="8.81640625" style="2"/>
    <col min="6" max="6" width="10.08984375" style="2" customWidth="1"/>
    <col min="7" max="7" width="13.81640625" style="2" customWidth="1"/>
    <col min="8" max="8" width="16.453125" style="2" bestFit="1" customWidth="1"/>
    <col min="9" max="9" width="13.6328125" style="2" bestFit="1" customWidth="1"/>
    <col min="10" max="10" width="20.453125" style="2" bestFit="1" customWidth="1"/>
    <col min="11" max="11" width="39.1796875" style="2" bestFit="1" customWidth="1"/>
    <col min="12" max="16384" width="8.81640625" style="2"/>
  </cols>
  <sheetData>
    <row r="1" spans="1:11" ht="36" x14ac:dyDescent="0.4">
      <c r="A1" s="9" t="s">
        <v>11</v>
      </c>
      <c r="B1" s="9" t="s">
        <v>12</v>
      </c>
      <c r="C1" s="9" t="s">
        <v>9</v>
      </c>
      <c r="D1" s="9" t="s">
        <v>13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">
      <c r="A2" s="7" t="s">
        <v>469</v>
      </c>
      <c r="B2" s="10" t="s">
        <v>469</v>
      </c>
      <c r="C2" s="10" t="s">
        <v>138</v>
      </c>
      <c r="D2" s="10" t="s">
        <v>20</v>
      </c>
      <c r="E2" s="10" t="s">
        <v>21</v>
      </c>
      <c r="F2" s="10" t="s">
        <v>63</v>
      </c>
      <c r="G2" s="10" t="s">
        <v>64</v>
      </c>
      <c r="H2" s="10">
        <v>301</v>
      </c>
      <c r="I2" s="10" t="s">
        <v>467</v>
      </c>
      <c r="J2" s="10" t="s">
        <v>31</v>
      </c>
      <c r="K2" s="10" t="s">
        <v>95</v>
      </c>
    </row>
    <row r="3" spans="1:11" x14ac:dyDescent="0.3">
      <c r="A3" s="7" t="s">
        <v>137</v>
      </c>
      <c r="B3" s="10" t="s">
        <v>137</v>
      </c>
      <c r="C3" s="10" t="s">
        <v>236</v>
      </c>
      <c r="D3" s="10" t="s">
        <v>20</v>
      </c>
      <c r="E3" s="10"/>
      <c r="F3" s="10" t="s">
        <v>63</v>
      </c>
      <c r="G3" s="10">
        <v>0</v>
      </c>
      <c r="H3" s="10">
        <v>102</v>
      </c>
      <c r="I3" s="10" t="s">
        <v>467</v>
      </c>
      <c r="J3" s="10" t="s">
        <v>31</v>
      </c>
      <c r="K3" s="10" t="s">
        <v>468</v>
      </c>
    </row>
    <row r="4" spans="1:11" x14ac:dyDescent="0.3">
      <c r="A4" s="7" t="s">
        <v>149</v>
      </c>
      <c r="B4" s="10" t="s">
        <v>210</v>
      </c>
      <c r="C4" s="10" t="s">
        <v>213</v>
      </c>
      <c r="D4" s="10" t="s">
        <v>67</v>
      </c>
      <c r="E4" s="10"/>
      <c r="F4" s="10" t="s">
        <v>63</v>
      </c>
      <c r="G4" s="10" t="s">
        <v>54</v>
      </c>
      <c r="H4" s="10" t="s">
        <v>211</v>
      </c>
      <c r="I4" s="10">
        <v>0</v>
      </c>
      <c r="J4" s="10" t="s">
        <v>212</v>
      </c>
      <c r="K4" s="10" t="s">
        <v>150</v>
      </c>
    </row>
    <row r="5" spans="1:11" x14ac:dyDescent="0.3">
      <c r="A5" s="7" t="s">
        <v>96</v>
      </c>
      <c r="B5" s="10" t="s">
        <v>97</v>
      </c>
      <c r="C5" s="10" t="s">
        <v>139</v>
      </c>
      <c r="D5" s="10" t="s">
        <v>67</v>
      </c>
      <c r="E5" s="10"/>
      <c r="F5" s="10" t="s">
        <v>68</v>
      </c>
      <c r="G5" s="10" t="s">
        <v>54</v>
      </c>
      <c r="H5" s="10" t="s">
        <v>140</v>
      </c>
      <c r="I5" s="10">
        <v>1</v>
      </c>
      <c r="J5" s="10" t="s">
        <v>100</v>
      </c>
      <c r="K5" s="10" t="s">
        <v>101</v>
      </c>
    </row>
    <row r="6" spans="1:11" x14ac:dyDescent="0.3">
      <c r="A6" s="7" t="s">
        <v>141</v>
      </c>
      <c r="B6" s="10" t="s">
        <v>142</v>
      </c>
      <c r="C6" s="10" t="s">
        <v>166</v>
      </c>
      <c r="D6" s="10" t="s">
        <v>67</v>
      </c>
      <c r="E6" s="10"/>
      <c r="F6" s="10" t="s">
        <v>68</v>
      </c>
      <c r="G6" s="10" t="s">
        <v>54</v>
      </c>
      <c r="H6" s="10" t="s">
        <v>143</v>
      </c>
      <c r="I6" s="10">
        <v>2</v>
      </c>
      <c r="J6" s="10" t="s">
        <v>144</v>
      </c>
      <c r="K6" s="10" t="s">
        <v>145</v>
      </c>
    </row>
    <row r="7" spans="1:11" x14ac:dyDescent="0.3">
      <c r="A7" s="7" t="s">
        <v>124</v>
      </c>
      <c r="B7" s="10" t="s">
        <v>124</v>
      </c>
      <c r="C7" s="10" t="s">
        <v>146</v>
      </c>
      <c r="D7" s="10" t="s">
        <v>67</v>
      </c>
      <c r="E7" s="10"/>
      <c r="F7" s="10" t="s">
        <v>68</v>
      </c>
      <c r="G7" s="10" t="s">
        <v>54</v>
      </c>
      <c r="H7" s="10" t="s">
        <v>147</v>
      </c>
      <c r="I7" s="10">
        <v>1</v>
      </c>
      <c r="J7" s="10" t="s">
        <v>100</v>
      </c>
      <c r="K7" s="10" t="s">
        <v>127</v>
      </c>
    </row>
    <row r="8" spans="1:11" x14ac:dyDescent="0.3">
      <c r="A8" s="7" t="s">
        <v>102</v>
      </c>
      <c r="B8" s="10" t="s">
        <v>102</v>
      </c>
      <c r="C8" s="10" t="s">
        <v>148</v>
      </c>
      <c r="D8" s="10" t="s">
        <v>20</v>
      </c>
      <c r="E8" s="10"/>
      <c r="F8" s="10" t="s">
        <v>68</v>
      </c>
      <c r="G8" s="10" t="s">
        <v>54</v>
      </c>
      <c r="H8" s="10">
        <v>34</v>
      </c>
      <c r="I8" s="10">
        <v>2</v>
      </c>
      <c r="J8" s="10" t="s">
        <v>100</v>
      </c>
      <c r="K8" s="10" t="s">
        <v>104</v>
      </c>
    </row>
    <row r="9" spans="1:11" x14ac:dyDescent="0.3">
      <c r="A9" s="7" t="s">
        <v>151</v>
      </c>
      <c r="B9" s="10" t="s">
        <v>151</v>
      </c>
      <c r="C9" s="10" t="s">
        <v>152</v>
      </c>
      <c r="D9" s="10" t="s">
        <v>67</v>
      </c>
      <c r="E9" s="10"/>
      <c r="F9" s="10" t="s">
        <v>68</v>
      </c>
      <c r="G9" s="10" t="s">
        <v>54</v>
      </c>
      <c r="H9" s="10" t="s">
        <v>153</v>
      </c>
      <c r="I9" s="10">
        <v>2</v>
      </c>
      <c r="J9" s="10" t="s">
        <v>144</v>
      </c>
      <c r="K9" s="10" t="s">
        <v>154</v>
      </c>
    </row>
    <row r="10" spans="1:11" x14ac:dyDescent="0.3">
      <c r="A10" s="7" t="s">
        <v>155</v>
      </c>
      <c r="B10" s="10" t="s">
        <v>156</v>
      </c>
      <c r="C10" s="10" t="s">
        <v>167</v>
      </c>
      <c r="D10" s="10" t="s">
        <v>67</v>
      </c>
      <c r="E10" s="10"/>
      <c r="F10" s="10" t="s">
        <v>68</v>
      </c>
      <c r="G10" s="10" t="s">
        <v>54</v>
      </c>
      <c r="H10" s="10" t="s">
        <v>157</v>
      </c>
      <c r="I10" s="10">
        <v>2</v>
      </c>
      <c r="J10" s="10" t="s">
        <v>144</v>
      </c>
      <c r="K10" s="10" t="s">
        <v>158</v>
      </c>
    </row>
    <row r="11" spans="1:11" x14ac:dyDescent="0.3">
      <c r="A11" s="7" t="s">
        <v>128</v>
      </c>
      <c r="B11" s="10" t="s">
        <v>128</v>
      </c>
      <c r="C11" s="10" t="s">
        <v>159</v>
      </c>
      <c r="D11" s="10" t="s">
        <v>67</v>
      </c>
      <c r="E11" s="10"/>
      <c r="F11" s="10" t="s">
        <v>68</v>
      </c>
      <c r="G11" s="10" t="s">
        <v>54</v>
      </c>
      <c r="H11" s="10" t="s">
        <v>160</v>
      </c>
      <c r="I11" s="10">
        <v>1</v>
      </c>
      <c r="J11" s="10" t="s">
        <v>131</v>
      </c>
      <c r="K11" s="10" t="s">
        <v>132</v>
      </c>
    </row>
    <row r="12" spans="1:11" x14ac:dyDescent="0.3">
      <c r="A12" s="7" t="s">
        <v>114</v>
      </c>
      <c r="B12" s="10" t="s">
        <v>115</v>
      </c>
      <c r="C12" s="10" t="s">
        <v>168</v>
      </c>
      <c r="D12" s="10" t="s">
        <v>67</v>
      </c>
      <c r="E12" s="10"/>
      <c r="F12" s="10" t="s">
        <v>68</v>
      </c>
      <c r="G12" s="10" t="s">
        <v>54</v>
      </c>
      <c r="H12" s="10" t="s">
        <v>161</v>
      </c>
      <c r="I12" s="10">
        <v>1</v>
      </c>
      <c r="J12" s="10" t="s">
        <v>165</v>
      </c>
      <c r="K12" s="10" t="s">
        <v>118</v>
      </c>
    </row>
    <row r="13" spans="1:11" x14ac:dyDescent="0.3">
      <c r="A13" s="7" t="s">
        <v>110</v>
      </c>
      <c r="B13" s="10" t="s">
        <v>111</v>
      </c>
      <c r="C13" s="10" t="s">
        <v>162</v>
      </c>
      <c r="D13" s="10" t="s">
        <v>28</v>
      </c>
      <c r="E13" s="10"/>
      <c r="F13" s="10" t="s">
        <v>68</v>
      </c>
      <c r="G13" s="10" t="s">
        <v>54</v>
      </c>
      <c r="H13" s="11">
        <v>33182</v>
      </c>
      <c r="I13" s="10">
        <v>1</v>
      </c>
      <c r="J13" s="10" t="s">
        <v>131</v>
      </c>
      <c r="K13" s="10" t="s">
        <v>113</v>
      </c>
    </row>
    <row r="14" spans="1:11" x14ac:dyDescent="0.3">
      <c r="A14" s="7" t="s">
        <v>105</v>
      </c>
      <c r="B14" s="10" t="s">
        <v>106</v>
      </c>
      <c r="C14" s="10" t="s">
        <v>163</v>
      </c>
      <c r="D14" s="10" t="s">
        <v>67</v>
      </c>
      <c r="E14" s="10"/>
      <c r="F14" s="10" t="s">
        <v>68</v>
      </c>
      <c r="G14" s="10" t="s">
        <v>54</v>
      </c>
      <c r="H14" s="10">
        <f>1-202-555-176</f>
        <v>-932</v>
      </c>
      <c r="I14" s="10">
        <v>2</v>
      </c>
      <c r="J14" s="10" t="s">
        <v>164</v>
      </c>
      <c r="K14" s="10" t="s">
        <v>109</v>
      </c>
    </row>
    <row r="15" spans="1:11" x14ac:dyDescent="0.3">
      <c r="A15" s="7" t="s">
        <v>197</v>
      </c>
      <c r="B15" s="10" t="s">
        <v>198</v>
      </c>
      <c r="C15" s="10" t="s">
        <v>199</v>
      </c>
      <c r="D15" s="10" t="s">
        <v>41</v>
      </c>
      <c r="E15" s="10"/>
      <c r="F15" s="10" t="s">
        <v>68</v>
      </c>
      <c r="G15" s="10" t="b">
        <v>0</v>
      </c>
      <c r="H15" s="10" t="b">
        <v>1</v>
      </c>
      <c r="I15" s="10">
        <v>2</v>
      </c>
      <c r="J15" s="10" t="s">
        <v>144</v>
      </c>
      <c r="K15" s="10" t="s">
        <v>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7"/>
  <sheetViews>
    <sheetView zoomScale="96" workbookViewId="0">
      <selection activeCell="B2" sqref="B2:B10"/>
    </sheetView>
  </sheetViews>
  <sheetFormatPr defaultColWidth="8.81640625" defaultRowHeight="14.5" x14ac:dyDescent="0.35"/>
  <cols>
    <col min="1" max="1" width="16.453125" style="1" bestFit="1" customWidth="1"/>
    <col min="2" max="2" width="15.90625" style="1" bestFit="1" customWidth="1"/>
    <col min="3" max="3" width="36.1796875" style="1" bestFit="1" customWidth="1"/>
    <col min="4" max="4" width="15.36328125" style="1" bestFit="1" customWidth="1"/>
    <col min="5" max="5" width="8.81640625" style="1" customWidth="1"/>
    <col min="6" max="6" width="12.90625" style="1" customWidth="1"/>
    <col min="7" max="7" width="15.6328125" style="1" bestFit="1" customWidth="1"/>
    <col min="8" max="8" width="29.1796875" style="1" bestFit="1" customWidth="1"/>
    <col min="9" max="9" width="13.6328125" style="1" bestFit="1" customWidth="1"/>
    <col min="10" max="10" width="26.1796875" style="1" bestFit="1" customWidth="1"/>
    <col min="11" max="11" width="36.90625" style="1" bestFit="1" customWidth="1"/>
    <col min="12" max="16384" width="8.81640625" style="1"/>
  </cols>
  <sheetData>
    <row r="1" spans="1:11" ht="36" x14ac:dyDescent="0.4">
      <c r="A1" s="9" t="s">
        <v>11</v>
      </c>
      <c r="B1" s="9" t="s">
        <v>12</v>
      </c>
      <c r="C1" s="9" t="s">
        <v>9</v>
      </c>
      <c r="D1" s="9" t="s">
        <v>13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5">
      <c r="A2" s="7" t="s">
        <v>289</v>
      </c>
      <c r="B2" s="10" t="s">
        <v>289</v>
      </c>
      <c r="C2" s="10" t="s">
        <v>236</v>
      </c>
      <c r="D2" s="10" t="s">
        <v>20</v>
      </c>
      <c r="E2" s="10" t="s">
        <v>21</v>
      </c>
      <c r="F2" s="10" t="s">
        <v>63</v>
      </c>
      <c r="G2" s="10" t="s">
        <v>64</v>
      </c>
      <c r="H2" s="10">
        <v>101</v>
      </c>
      <c r="I2" s="10" t="s">
        <v>467</v>
      </c>
      <c r="J2" s="10" t="s">
        <v>31</v>
      </c>
      <c r="K2" s="10" t="s">
        <v>237</v>
      </c>
    </row>
    <row r="3" spans="1:11" x14ac:dyDescent="0.35">
      <c r="A3" s="7" t="s">
        <v>65</v>
      </c>
      <c r="B3" s="10" t="s">
        <v>65</v>
      </c>
      <c r="C3" s="10" t="s">
        <v>66</v>
      </c>
      <c r="D3" s="10" t="s">
        <v>67</v>
      </c>
      <c r="E3" s="10"/>
      <c r="F3" s="10" t="s">
        <v>68</v>
      </c>
      <c r="G3" s="10" t="s">
        <v>54</v>
      </c>
      <c r="H3" s="10" t="s">
        <v>459</v>
      </c>
      <c r="I3" s="10">
        <v>1</v>
      </c>
      <c r="J3" s="10" t="s">
        <v>86</v>
      </c>
      <c r="K3" s="10" t="s">
        <v>81</v>
      </c>
    </row>
    <row r="4" spans="1:11" x14ac:dyDescent="0.35">
      <c r="A4" s="7" t="s">
        <v>69</v>
      </c>
      <c r="B4" s="10" t="s">
        <v>69</v>
      </c>
      <c r="C4" s="10" t="s">
        <v>82</v>
      </c>
      <c r="D4" s="10" t="s">
        <v>67</v>
      </c>
      <c r="E4" s="10"/>
      <c r="F4" s="10" t="s">
        <v>68</v>
      </c>
      <c r="G4" s="10" t="s">
        <v>54</v>
      </c>
      <c r="H4" s="10" t="s">
        <v>460</v>
      </c>
      <c r="I4" s="10">
        <v>1</v>
      </c>
      <c r="J4" s="10" t="s">
        <v>86</v>
      </c>
      <c r="K4" s="10" t="s">
        <v>83</v>
      </c>
    </row>
    <row r="5" spans="1:11" x14ac:dyDescent="0.35">
      <c r="A5" s="7" t="s">
        <v>70</v>
      </c>
      <c r="B5" s="10" t="s">
        <v>84</v>
      </c>
      <c r="C5" s="10" t="s">
        <v>85</v>
      </c>
      <c r="D5" s="10" t="s">
        <v>67</v>
      </c>
      <c r="E5" s="10"/>
      <c r="F5" s="10" t="s">
        <v>68</v>
      </c>
      <c r="G5" s="10" t="s">
        <v>54</v>
      </c>
      <c r="H5" s="10" t="s">
        <v>461</v>
      </c>
      <c r="I5" s="10">
        <v>1</v>
      </c>
      <c r="J5" s="10" t="s">
        <v>86</v>
      </c>
      <c r="K5" s="10" t="s">
        <v>87</v>
      </c>
    </row>
    <row r="6" spans="1:11" x14ac:dyDescent="0.35">
      <c r="A6" s="7" t="s">
        <v>71</v>
      </c>
      <c r="B6" s="10" t="s">
        <v>71</v>
      </c>
      <c r="C6" s="10" t="s">
        <v>72</v>
      </c>
      <c r="D6" s="10" t="s">
        <v>67</v>
      </c>
      <c r="E6" s="10"/>
      <c r="F6" s="10" t="s">
        <v>63</v>
      </c>
      <c r="G6" s="10" t="s">
        <v>54</v>
      </c>
      <c r="H6" s="10" t="s">
        <v>462</v>
      </c>
      <c r="I6" s="10">
        <v>1</v>
      </c>
      <c r="J6" s="10" t="s">
        <v>86</v>
      </c>
      <c r="K6" s="10" t="s">
        <v>88</v>
      </c>
    </row>
    <row r="7" spans="1:11" x14ac:dyDescent="0.35">
      <c r="A7" s="7" t="s">
        <v>73</v>
      </c>
      <c r="B7" s="10" t="s">
        <v>74</v>
      </c>
      <c r="C7" s="10" t="s">
        <v>75</v>
      </c>
      <c r="D7" s="10" t="s">
        <v>67</v>
      </c>
      <c r="E7" s="10"/>
      <c r="F7" s="10" t="s">
        <v>68</v>
      </c>
      <c r="G7" s="10" t="s">
        <v>54</v>
      </c>
      <c r="H7" s="10" t="s">
        <v>463</v>
      </c>
      <c r="I7" s="10">
        <v>1</v>
      </c>
      <c r="J7" s="10" t="s">
        <v>89</v>
      </c>
      <c r="K7" s="10" t="s">
        <v>90</v>
      </c>
    </row>
    <row r="8" spans="1:11" x14ac:dyDescent="0.35">
      <c r="A8" s="7" t="s">
        <v>76</v>
      </c>
      <c r="B8" s="10" t="s">
        <v>76</v>
      </c>
      <c r="C8" s="10" t="s">
        <v>77</v>
      </c>
      <c r="D8" s="10" t="s">
        <v>78</v>
      </c>
      <c r="E8" s="10"/>
      <c r="F8" s="10" t="s">
        <v>68</v>
      </c>
      <c r="G8" s="10">
        <v>0</v>
      </c>
      <c r="H8" s="10">
        <v>34.052199999999999</v>
      </c>
      <c r="I8" s="10">
        <v>1</v>
      </c>
      <c r="J8" s="10" t="s">
        <v>93</v>
      </c>
      <c r="K8" s="10" t="s">
        <v>91</v>
      </c>
    </row>
    <row r="9" spans="1:11" x14ac:dyDescent="0.35">
      <c r="A9" s="7" t="s">
        <v>79</v>
      </c>
      <c r="B9" s="10" t="s">
        <v>79</v>
      </c>
      <c r="C9" s="10" t="s">
        <v>80</v>
      </c>
      <c r="D9" s="10" t="s">
        <v>78</v>
      </c>
      <c r="E9" s="10"/>
      <c r="F9" s="10" t="s">
        <v>68</v>
      </c>
      <c r="G9" s="10">
        <v>0</v>
      </c>
      <c r="H9" s="10">
        <v>-118.2437</v>
      </c>
      <c r="I9" s="10">
        <v>1</v>
      </c>
      <c r="J9" s="10" t="s">
        <v>93</v>
      </c>
      <c r="K9" s="10" t="s">
        <v>92</v>
      </c>
    </row>
    <row r="10" spans="1:11" x14ac:dyDescent="0.35">
      <c r="A10" s="7" t="s">
        <v>297</v>
      </c>
      <c r="B10" s="10" t="s">
        <v>298</v>
      </c>
      <c r="C10" s="10" t="s">
        <v>299</v>
      </c>
      <c r="D10" s="10" t="s">
        <v>20</v>
      </c>
      <c r="E10" s="10"/>
      <c r="F10" s="10" t="s">
        <v>68</v>
      </c>
      <c r="G10" s="10">
        <v>0</v>
      </c>
      <c r="H10" s="10">
        <v>60601</v>
      </c>
      <c r="I10" s="10">
        <v>1</v>
      </c>
      <c r="J10" s="10" t="s">
        <v>300</v>
      </c>
      <c r="K10" s="10" t="s">
        <v>301</v>
      </c>
    </row>
    <row r="11" spans="1:11" x14ac:dyDescent="0.3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7" spans="3:3" x14ac:dyDescent="0.35">
      <c r="C17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"/>
  <sheetViews>
    <sheetView topLeftCell="A2" workbookViewId="0">
      <selection activeCell="A8" sqref="A8:XFD10"/>
    </sheetView>
  </sheetViews>
  <sheetFormatPr defaultColWidth="8.81640625" defaultRowHeight="14.5" x14ac:dyDescent="0.35"/>
  <cols>
    <col min="1" max="1" width="24.6328125" style="1" bestFit="1" customWidth="1"/>
    <col min="2" max="2" width="22.1796875" style="1" bestFit="1" customWidth="1"/>
    <col min="3" max="3" width="53.453125" style="1" bestFit="1" customWidth="1"/>
    <col min="4" max="4" width="15.36328125" style="1" customWidth="1"/>
    <col min="5" max="5" width="7.81640625" style="1" bestFit="1" customWidth="1"/>
    <col min="6" max="6" width="9.6328125" style="1" bestFit="1" customWidth="1"/>
    <col min="7" max="7" width="18.08984375" style="1" bestFit="1" customWidth="1"/>
    <col min="8" max="8" width="30.81640625" style="1" bestFit="1" customWidth="1"/>
    <col min="9" max="9" width="14" style="1" bestFit="1" customWidth="1"/>
    <col min="10" max="10" width="25.90625" style="1" bestFit="1" customWidth="1"/>
    <col min="11" max="11" width="37.08984375" style="1" bestFit="1" customWidth="1"/>
    <col min="12" max="16384" width="8.81640625" style="1"/>
  </cols>
  <sheetData>
    <row r="1" spans="1:11" ht="27" customHeight="1" x14ac:dyDescent="0.4">
      <c r="A1" s="9" t="s">
        <v>11</v>
      </c>
      <c r="B1" s="9" t="s">
        <v>12</v>
      </c>
      <c r="C1" s="9" t="s">
        <v>9</v>
      </c>
      <c r="D1" s="9" t="s">
        <v>13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5">
      <c r="A2" s="7" t="s">
        <v>470</v>
      </c>
      <c r="B2" s="10" t="s">
        <v>470</v>
      </c>
      <c r="C2" s="10" t="s">
        <v>172</v>
      </c>
      <c r="D2" s="10" t="s">
        <v>20</v>
      </c>
      <c r="E2" s="10" t="s">
        <v>21</v>
      </c>
      <c r="F2" s="10" t="s">
        <v>63</v>
      </c>
      <c r="G2" s="10" t="s">
        <v>64</v>
      </c>
      <c r="H2" s="10">
        <v>1001</v>
      </c>
      <c r="I2" s="10" t="s">
        <v>467</v>
      </c>
      <c r="J2" s="10" t="s">
        <v>31</v>
      </c>
      <c r="K2" s="10" t="s">
        <v>135</v>
      </c>
    </row>
    <row r="3" spans="1:11" x14ac:dyDescent="0.35">
      <c r="A3" s="7" t="s">
        <v>387</v>
      </c>
      <c r="B3" s="10" t="s">
        <v>387</v>
      </c>
      <c r="C3" s="10" t="s">
        <v>236</v>
      </c>
      <c r="D3" s="10" t="s">
        <v>20</v>
      </c>
      <c r="E3" s="10"/>
      <c r="F3" s="10" t="s">
        <v>63</v>
      </c>
      <c r="G3" s="10">
        <v>0</v>
      </c>
      <c r="H3" s="10">
        <v>102</v>
      </c>
      <c r="I3" s="10" t="s">
        <v>467</v>
      </c>
      <c r="J3" s="10" t="s">
        <v>31</v>
      </c>
      <c r="K3" s="10" t="s">
        <v>468</v>
      </c>
    </row>
    <row r="4" spans="1:11" x14ac:dyDescent="0.35">
      <c r="A4" s="7" t="s">
        <v>173</v>
      </c>
      <c r="B4" s="10" t="s">
        <v>174</v>
      </c>
      <c r="C4" s="10" t="s">
        <v>175</v>
      </c>
      <c r="D4" s="10" t="s">
        <v>67</v>
      </c>
      <c r="E4" s="10"/>
      <c r="F4" s="10" t="s">
        <v>63</v>
      </c>
      <c r="G4" s="10" t="s">
        <v>54</v>
      </c>
      <c r="H4" s="10" t="s">
        <v>176</v>
      </c>
      <c r="I4" s="10">
        <v>2</v>
      </c>
      <c r="J4" s="10" t="s">
        <v>177</v>
      </c>
      <c r="K4" s="10" t="s">
        <v>178</v>
      </c>
    </row>
    <row r="5" spans="1:11" x14ac:dyDescent="0.35">
      <c r="A5" s="7" t="s">
        <v>179</v>
      </c>
      <c r="B5" s="10" t="s">
        <v>180</v>
      </c>
      <c r="C5" s="10" t="s">
        <v>181</v>
      </c>
      <c r="D5" s="10" t="s">
        <v>67</v>
      </c>
      <c r="E5" s="10"/>
      <c r="F5" s="10" t="s">
        <v>68</v>
      </c>
      <c r="G5" s="10" t="s">
        <v>54</v>
      </c>
      <c r="H5" s="10" t="s">
        <v>182</v>
      </c>
      <c r="I5" s="10">
        <v>2</v>
      </c>
      <c r="J5" s="10" t="s">
        <v>183</v>
      </c>
      <c r="K5" s="10" t="s">
        <v>184</v>
      </c>
    </row>
    <row r="6" spans="1:11" x14ac:dyDescent="0.35">
      <c r="A6" s="7" t="s">
        <v>185</v>
      </c>
      <c r="B6" s="10" t="s">
        <v>186</v>
      </c>
      <c r="C6" s="10" t="s">
        <v>187</v>
      </c>
      <c r="D6" s="10" t="s">
        <v>67</v>
      </c>
      <c r="E6" s="10"/>
      <c r="F6" s="10" t="s">
        <v>68</v>
      </c>
      <c r="G6" s="10" t="s">
        <v>54</v>
      </c>
      <c r="H6" s="10" t="s">
        <v>188</v>
      </c>
      <c r="I6" s="10">
        <v>1</v>
      </c>
      <c r="J6" s="10" t="s">
        <v>189</v>
      </c>
      <c r="K6" s="10" t="s">
        <v>190</v>
      </c>
    </row>
    <row r="7" spans="1:11" x14ac:dyDescent="0.35">
      <c r="A7" s="7" t="s">
        <v>191</v>
      </c>
      <c r="B7" s="10" t="s">
        <v>192</v>
      </c>
      <c r="C7" s="10" t="s">
        <v>193</v>
      </c>
      <c r="D7" s="10" t="s">
        <v>67</v>
      </c>
      <c r="E7" s="10"/>
      <c r="F7" s="10" t="s">
        <v>68</v>
      </c>
      <c r="G7" s="10" t="s">
        <v>54</v>
      </c>
      <c r="H7" s="10" t="s">
        <v>194</v>
      </c>
      <c r="I7" s="10">
        <v>2</v>
      </c>
      <c r="J7" s="10" t="s">
        <v>183</v>
      </c>
      <c r="K7" s="10" t="s">
        <v>195</v>
      </c>
    </row>
    <row r="8" spans="1:11" x14ac:dyDescent="0.35">
      <c r="A8" s="7"/>
      <c r="B8" s="10"/>
      <c r="C8" s="10"/>
      <c r="D8" s="10"/>
      <c r="E8" s="10"/>
      <c r="F8" s="10"/>
      <c r="G8" s="10"/>
      <c r="H8" s="10"/>
      <c r="J8" s="10"/>
      <c r="K8" s="10"/>
    </row>
    <row r="9" spans="1:11" x14ac:dyDescent="0.35">
      <c r="A9" s="7"/>
      <c r="B9" s="10"/>
      <c r="C9" s="10"/>
      <c r="D9" s="10"/>
      <c r="E9" s="10"/>
      <c r="F9" s="10"/>
      <c r="G9" s="10"/>
      <c r="H9" s="10"/>
      <c r="J9" s="10"/>
      <c r="K9" s="10"/>
    </row>
    <row r="10" spans="1:11" x14ac:dyDescent="0.35">
      <c r="A10" s="7"/>
      <c r="B10" s="10"/>
      <c r="C10" s="10"/>
      <c r="D10" s="10"/>
      <c r="E10" s="10"/>
      <c r="F10" s="10"/>
      <c r="G10" s="10"/>
      <c r="H10" s="10"/>
      <c r="J10" s="10"/>
      <c r="K10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2"/>
  <sheetViews>
    <sheetView workbookViewId="0">
      <selection activeCell="A10" sqref="A10:XFD12"/>
    </sheetView>
  </sheetViews>
  <sheetFormatPr defaultColWidth="8.81640625" defaultRowHeight="14" x14ac:dyDescent="0.3"/>
  <cols>
    <col min="1" max="1" width="17.6328125" style="10" bestFit="1" customWidth="1"/>
    <col min="2" max="2" width="16.36328125" style="10" bestFit="1" customWidth="1"/>
    <col min="3" max="3" width="27.453125" style="10" bestFit="1" customWidth="1"/>
    <col min="4" max="4" width="15.36328125" style="10" bestFit="1" customWidth="1"/>
    <col min="5" max="5" width="10.453125" style="10" customWidth="1"/>
    <col min="6" max="6" width="13.81640625" style="10" customWidth="1"/>
    <col min="7" max="7" width="11.6328125" style="10" bestFit="1" customWidth="1"/>
    <col min="8" max="8" width="31" style="10" bestFit="1" customWidth="1"/>
    <col min="9" max="9" width="8.81640625" style="10"/>
    <col min="10" max="10" width="41.90625" style="10" bestFit="1" customWidth="1"/>
    <col min="11" max="11" width="38.90625" style="10" bestFit="1" customWidth="1"/>
    <col min="12" max="16384" width="8.81640625" style="10"/>
  </cols>
  <sheetData>
    <row r="1" spans="1:11" ht="36" x14ac:dyDescent="0.4">
      <c r="A1" s="9" t="s">
        <v>11</v>
      </c>
      <c r="B1" s="9" t="s">
        <v>12</v>
      </c>
      <c r="C1" s="9" t="s">
        <v>9</v>
      </c>
      <c r="D1" s="9" t="s">
        <v>234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">
      <c r="A2" s="7" t="s">
        <v>471</v>
      </c>
      <c r="B2" s="7" t="s">
        <v>471</v>
      </c>
      <c r="C2" s="10" t="s">
        <v>322</v>
      </c>
      <c r="D2" s="10" t="s">
        <v>20</v>
      </c>
      <c r="E2" s="10" t="s">
        <v>21</v>
      </c>
      <c r="F2" s="10" t="s">
        <v>63</v>
      </c>
      <c r="G2" s="10" t="s">
        <v>323</v>
      </c>
      <c r="H2" s="10" t="s">
        <v>324</v>
      </c>
      <c r="I2" s="10" t="s">
        <v>467</v>
      </c>
      <c r="J2" s="10" t="s">
        <v>31</v>
      </c>
      <c r="K2" s="10" t="s">
        <v>325</v>
      </c>
    </row>
    <row r="3" spans="1:11" x14ac:dyDescent="0.3">
      <c r="A3" s="7" t="s">
        <v>295</v>
      </c>
      <c r="B3" s="7" t="s">
        <v>295</v>
      </c>
      <c r="C3" s="10" t="s">
        <v>236</v>
      </c>
      <c r="D3" s="10" t="s">
        <v>20</v>
      </c>
      <c r="F3" s="10" t="s">
        <v>63</v>
      </c>
      <c r="G3" s="10">
        <v>0</v>
      </c>
      <c r="H3" s="10">
        <v>102</v>
      </c>
      <c r="I3" s="10" t="s">
        <v>467</v>
      </c>
      <c r="J3" s="10" t="s">
        <v>31</v>
      </c>
      <c r="K3" s="10" t="s">
        <v>468</v>
      </c>
    </row>
    <row r="4" spans="1:11" x14ac:dyDescent="0.3">
      <c r="A4" s="7" t="s">
        <v>359</v>
      </c>
      <c r="B4" s="10" t="s">
        <v>359</v>
      </c>
      <c r="C4" s="10" t="s">
        <v>360</v>
      </c>
      <c r="D4" s="10" t="s">
        <v>304</v>
      </c>
      <c r="F4" s="10" t="s">
        <v>63</v>
      </c>
      <c r="G4" s="10" t="s">
        <v>54</v>
      </c>
      <c r="H4" s="10" t="s">
        <v>361</v>
      </c>
      <c r="I4" s="10">
        <v>2</v>
      </c>
      <c r="J4" s="10" t="s">
        <v>381</v>
      </c>
      <c r="K4" s="10" t="s">
        <v>376</v>
      </c>
    </row>
    <row r="5" spans="1:11" x14ac:dyDescent="0.3">
      <c r="A5" s="7" t="s">
        <v>71</v>
      </c>
      <c r="B5" s="10" t="s">
        <v>71</v>
      </c>
      <c r="C5" s="10" t="s">
        <v>362</v>
      </c>
      <c r="D5" s="10" t="s">
        <v>312</v>
      </c>
      <c r="F5" s="10" t="s">
        <v>68</v>
      </c>
      <c r="G5" s="10" t="s">
        <v>54</v>
      </c>
      <c r="H5" s="10" t="s">
        <v>363</v>
      </c>
      <c r="I5" s="10">
        <v>2</v>
      </c>
      <c r="J5" s="10" t="s">
        <v>382</v>
      </c>
      <c r="K5" s="10" t="s">
        <v>377</v>
      </c>
    </row>
    <row r="6" spans="1:11" x14ac:dyDescent="0.3">
      <c r="A6" s="7" t="s">
        <v>364</v>
      </c>
      <c r="B6" s="10" t="s">
        <v>364</v>
      </c>
      <c r="C6" s="10" t="s">
        <v>365</v>
      </c>
      <c r="D6" s="10" t="s">
        <v>67</v>
      </c>
      <c r="F6" s="10" t="s">
        <v>68</v>
      </c>
      <c r="G6" s="10" t="s">
        <v>54</v>
      </c>
      <c r="H6" s="10" t="s">
        <v>366</v>
      </c>
      <c r="I6" s="10">
        <v>2</v>
      </c>
      <c r="J6" s="10" t="s">
        <v>382</v>
      </c>
      <c r="K6" s="10" t="s">
        <v>378</v>
      </c>
    </row>
    <row r="7" spans="1:11" x14ac:dyDescent="0.3">
      <c r="A7" s="7" t="s">
        <v>367</v>
      </c>
      <c r="B7" s="10" t="s">
        <v>367</v>
      </c>
      <c r="C7" s="10" t="s">
        <v>368</v>
      </c>
      <c r="D7" s="10" t="s">
        <v>312</v>
      </c>
      <c r="F7" s="10" t="s">
        <v>68</v>
      </c>
      <c r="G7" s="10" t="s">
        <v>54</v>
      </c>
      <c r="H7" s="10" t="s">
        <v>369</v>
      </c>
      <c r="I7" s="10">
        <v>2</v>
      </c>
      <c r="J7" s="10" t="s">
        <v>382</v>
      </c>
      <c r="K7" s="10" t="s">
        <v>379</v>
      </c>
    </row>
    <row r="8" spans="1:11" x14ac:dyDescent="0.3">
      <c r="A8" s="7" t="s">
        <v>370</v>
      </c>
      <c r="B8" s="10" t="s">
        <v>370</v>
      </c>
      <c r="C8" s="10" t="s">
        <v>371</v>
      </c>
      <c r="D8" s="10" t="s">
        <v>312</v>
      </c>
      <c r="F8" s="10" t="s">
        <v>68</v>
      </c>
      <c r="G8" s="10" t="s">
        <v>54</v>
      </c>
      <c r="H8" s="10" t="s">
        <v>372</v>
      </c>
      <c r="I8" s="10">
        <v>2</v>
      </c>
      <c r="J8" s="10" t="s">
        <v>382</v>
      </c>
      <c r="K8" s="10" t="s">
        <v>380</v>
      </c>
    </row>
    <row r="9" spans="1:11" x14ac:dyDescent="0.3">
      <c r="A9" s="7" t="s">
        <v>373</v>
      </c>
      <c r="B9" s="10" t="s">
        <v>373</v>
      </c>
      <c r="C9" s="10" t="s">
        <v>374</v>
      </c>
      <c r="D9" s="10" t="s">
        <v>312</v>
      </c>
      <c r="F9" s="10" t="s">
        <v>68</v>
      </c>
      <c r="G9" s="10" t="s">
        <v>54</v>
      </c>
      <c r="H9" s="10" t="s">
        <v>375</v>
      </c>
      <c r="I9" s="10">
        <v>2</v>
      </c>
      <c r="J9" s="10" t="s">
        <v>383</v>
      </c>
      <c r="K9" s="10" t="s">
        <v>377</v>
      </c>
    </row>
    <row r="10" spans="1:11" x14ac:dyDescent="0.3">
      <c r="A10" s="7"/>
    </row>
    <row r="11" spans="1:11" x14ac:dyDescent="0.3">
      <c r="A11" s="7"/>
    </row>
    <row r="12" spans="1:11" x14ac:dyDescent="0.3">
      <c r="A12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3"/>
  <sheetViews>
    <sheetView workbookViewId="0">
      <selection activeCell="A2" sqref="A2:A12"/>
    </sheetView>
  </sheetViews>
  <sheetFormatPr defaultRowHeight="14.5" x14ac:dyDescent="0.35"/>
  <cols>
    <col min="1" max="1" width="16.453125" bestFit="1" customWidth="1"/>
    <col min="2" max="2" width="15.90625" bestFit="1" customWidth="1"/>
    <col min="3" max="3" width="33.81640625" bestFit="1" customWidth="1"/>
    <col min="4" max="4" width="15.36328125" customWidth="1"/>
    <col min="5" max="5" width="9.453125" customWidth="1"/>
    <col min="6" max="6" width="9.6328125" customWidth="1"/>
    <col min="7" max="7" width="15.6328125" bestFit="1" customWidth="1"/>
    <col min="8" max="8" width="18.1796875" bestFit="1" customWidth="1"/>
    <col min="9" max="9" width="13.6328125" bestFit="1" customWidth="1"/>
    <col min="10" max="10" width="17.1796875" bestFit="1" customWidth="1"/>
    <col min="11" max="11" width="20.08984375" bestFit="1" customWidth="1"/>
  </cols>
  <sheetData>
    <row r="1" spans="1:11" ht="36" x14ac:dyDescent="0.4">
      <c r="A1" s="9" t="s">
        <v>11</v>
      </c>
      <c r="B1" s="9" t="s">
        <v>12</v>
      </c>
      <c r="C1" s="9" t="s">
        <v>9</v>
      </c>
      <c r="D1" s="9" t="s">
        <v>13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5">
      <c r="A2" s="7" t="s">
        <v>288</v>
      </c>
      <c r="B2" s="10" t="s">
        <v>288</v>
      </c>
      <c r="C2" s="10" t="s">
        <v>19</v>
      </c>
      <c r="D2" s="10" t="s">
        <v>20</v>
      </c>
      <c r="E2" s="10" t="s">
        <v>21</v>
      </c>
      <c r="F2" s="10" t="s">
        <v>22</v>
      </c>
      <c r="G2" s="10">
        <v>0</v>
      </c>
      <c r="H2" s="10">
        <v>20250529</v>
      </c>
      <c r="I2" s="10" t="s">
        <v>467</v>
      </c>
      <c r="J2" s="10" t="s">
        <v>55</v>
      </c>
      <c r="K2" s="10" t="s">
        <v>24</v>
      </c>
    </row>
    <row r="3" spans="1:11" x14ac:dyDescent="0.35">
      <c r="A3" s="7" t="s">
        <v>25</v>
      </c>
      <c r="B3" s="10" t="s">
        <v>26</v>
      </c>
      <c r="C3" s="10" t="s">
        <v>27</v>
      </c>
      <c r="D3" s="10" t="s">
        <v>28</v>
      </c>
      <c r="E3" s="10"/>
      <c r="F3" s="10" t="s">
        <v>22</v>
      </c>
      <c r="G3" s="10" t="s">
        <v>23</v>
      </c>
      <c r="H3" s="11">
        <v>45806</v>
      </c>
      <c r="I3" s="10">
        <v>0</v>
      </c>
      <c r="J3" s="10" t="s">
        <v>55</v>
      </c>
      <c r="K3" s="10" t="s">
        <v>31</v>
      </c>
    </row>
    <row r="4" spans="1:11" x14ac:dyDescent="0.35">
      <c r="A4" s="7" t="s">
        <v>29</v>
      </c>
      <c r="B4" s="10" t="s">
        <v>30</v>
      </c>
      <c r="C4" s="10" t="s">
        <v>57</v>
      </c>
      <c r="D4" s="10" t="s">
        <v>20</v>
      </c>
      <c r="E4" s="10"/>
      <c r="F4" s="10" t="s">
        <v>22</v>
      </c>
      <c r="G4" s="10" t="s">
        <v>23</v>
      </c>
      <c r="H4" s="10">
        <v>29</v>
      </c>
      <c r="I4" s="10">
        <v>0</v>
      </c>
      <c r="J4" s="10" t="s">
        <v>55</v>
      </c>
      <c r="K4" s="10" t="s">
        <v>31</v>
      </c>
    </row>
    <row r="5" spans="1:11" x14ac:dyDescent="0.35">
      <c r="A5" s="7" t="s">
        <v>32</v>
      </c>
      <c r="B5" s="10" t="s">
        <v>33</v>
      </c>
      <c r="C5" s="10" t="s">
        <v>58</v>
      </c>
      <c r="D5" s="10" t="s">
        <v>20</v>
      </c>
      <c r="E5" s="10"/>
      <c r="F5" s="10" t="s">
        <v>22</v>
      </c>
      <c r="G5" s="10" t="s">
        <v>23</v>
      </c>
      <c r="H5" s="10">
        <v>4</v>
      </c>
      <c r="I5" s="10">
        <v>0</v>
      </c>
      <c r="J5" s="10" t="s">
        <v>55</v>
      </c>
      <c r="K5" s="10" t="s">
        <v>31</v>
      </c>
    </row>
    <row r="6" spans="1:11" x14ac:dyDescent="0.35">
      <c r="A6" s="7" t="s">
        <v>34</v>
      </c>
      <c r="B6" s="10" t="s">
        <v>35</v>
      </c>
      <c r="C6" s="10" t="s">
        <v>36</v>
      </c>
      <c r="D6" s="10" t="s">
        <v>67</v>
      </c>
      <c r="E6" s="10"/>
      <c r="F6" s="10" t="s">
        <v>22</v>
      </c>
      <c r="G6" s="10" t="s">
        <v>23</v>
      </c>
      <c r="H6" s="10" t="s">
        <v>37</v>
      </c>
      <c r="I6" s="10">
        <v>0</v>
      </c>
      <c r="J6" s="10" t="s">
        <v>55</v>
      </c>
      <c r="K6" s="10" t="s">
        <v>31</v>
      </c>
    </row>
    <row r="7" spans="1:11" x14ac:dyDescent="0.35">
      <c r="A7" s="7" t="s">
        <v>38</v>
      </c>
      <c r="B7" s="10" t="s">
        <v>39</v>
      </c>
      <c r="C7" s="10" t="s">
        <v>40</v>
      </c>
      <c r="D7" s="10" t="s">
        <v>41</v>
      </c>
      <c r="E7" s="10"/>
      <c r="F7" s="10" t="s">
        <v>22</v>
      </c>
      <c r="G7" s="10" t="b">
        <v>0</v>
      </c>
      <c r="H7" s="10" t="s">
        <v>42</v>
      </c>
      <c r="I7" s="10">
        <v>0</v>
      </c>
      <c r="J7" s="10" t="s">
        <v>55</v>
      </c>
      <c r="K7" s="10" t="s">
        <v>31</v>
      </c>
    </row>
    <row r="8" spans="1:11" x14ac:dyDescent="0.35">
      <c r="A8" s="7" t="s">
        <v>43</v>
      </c>
      <c r="B8" s="10" t="s">
        <v>44</v>
      </c>
      <c r="C8" s="10" t="s">
        <v>59</v>
      </c>
      <c r="D8" s="10" t="s">
        <v>20</v>
      </c>
      <c r="E8" s="10"/>
      <c r="F8" s="10" t="s">
        <v>22</v>
      </c>
      <c r="G8" s="10" t="s">
        <v>23</v>
      </c>
      <c r="H8" s="10">
        <v>22</v>
      </c>
      <c r="I8" s="10">
        <v>0</v>
      </c>
      <c r="J8" s="10" t="s">
        <v>55</v>
      </c>
      <c r="K8" s="10" t="s">
        <v>31</v>
      </c>
    </row>
    <row r="9" spans="1:11" x14ac:dyDescent="0.35">
      <c r="A9" s="7" t="s">
        <v>45</v>
      </c>
      <c r="B9" s="10" t="s">
        <v>46</v>
      </c>
      <c r="C9" s="10" t="s">
        <v>60</v>
      </c>
      <c r="D9" s="10" t="s">
        <v>20</v>
      </c>
      <c r="E9" s="10"/>
      <c r="F9" s="10" t="s">
        <v>22</v>
      </c>
      <c r="G9" s="10" t="s">
        <v>23</v>
      </c>
      <c r="H9" s="10">
        <v>5</v>
      </c>
      <c r="I9" s="10">
        <v>0</v>
      </c>
      <c r="J9" s="10" t="s">
        <v>55</v>
      </c>
      <c r="K9" s="10" t="s">
        <v>31</v>
      </c>
    </row>
    <row r="10" spans="1:11" x14ac:dyDescent="0.35">
      <c r="A10" s="7" t="s">
        <v>47</v>
      </c>
      <c r="B10" s="10" t="s">
        <v>48</v>
      </c>
      <c r="C10" s="10" t="s">
        <v>49</v>
      </c>
      <c r="D10" s="10" t="s">
        <v>67</v>
      </c>
      <c r="E10" s="10"/>
      <c r="F10" s="10" t="s">
        <v>22</v>
      </c>
      <c r="G10" s="10" t="s">
        <v>23</v>
      </c>
      <c r="H10" s="10" t="s">
        <v>50</v>
      </c>
      <c r="I10" s="10">
        <v>0</v>
      </c>
      <c r="J10" s="10" t="s">
        <v>55</v>
      </c>
      <c r="K10" s="10" t="s">
        <v>31</v>
      </c>
    </row>
    <row r="11" spans="1:11" x14ac:dyDescent="0.35">
      <c r="A11" s="7" t="s">
        <v>51</v>
      </c>
      <c r="B11" s="10" t="s">
        <v>51</v>
      </c>
      <c r="C11" s="10" t="s">
        <v>56</v>
      </c>
      <c r="D11" s="10" t="s">
        <v>20</v>
      </c>
      <c r="E11" s="10"/>
      <c r="F11" s="10" t="s">
        <v>22</v>
      </c>
      <c r="G11" s="10" t="s">
        <v>23</v>
      </c>
      <c r="H11" s="10">
        <v>2</v>
      </c>
      <c r="I11" s="10">
        <v>0</v>
      </c>
      <c r="J11" s="10" t="s">
        <v>55</v>
      </c>
      <c r="K11" s="10" t="s">
        <v>31</v>
      </c>
    </row>
    <row r="12" spans="1:11" x14ac:dyDescent="0.35">
      <c r="A12" s="7" t="s">
        <v>52</v>
      </c>
      <c r="B12" s="10" t="s">
        <v>52</v>
      </c>
      <c r="C12" s="10" t="s">
        <v>53</v>
      </c>
      <c r="D12" s="10" t="s">
        <v>20</v>
      </c>
      <c r="E12" s="10"/>
      <c r="F12" s="10" t="s">
        <v>22</v>
      </c>
      <c r="G12" s="10" t="s">
        <v>23</v>
      </c>
      <c r="H12" s="10">
        <v>2025</v>
      </c>
      <c r="I12" s="10">
        <v>0</v>
      </c>
      <c r="J12" s="10" t="s">
        <v>55</v>
      </c>
      <c r="K12" s="10" t="s">
        <v>31</v>
      </c>
    </row>
    <row r="13" spans="1:1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>
      <selection activeCell="C18" sqref="C18"/>
    </sheetView>
  </sheetViews>
  <sheetFormatPr defaultColWidth="8.81640625" defaultRowHeight="14" x14ac:dyDescent="0.3"/>
  <cols>
    <col min="1" max="2" width="13.1796875" style="10" bestFit="1" customWidth="1"/>
    <col min="3" max="3" width="26.453125" style="10" bestFit="1" customWidth="1"/>
    <col min="4" max="4" width="15.36328125" style="10" bestFit="1" customWidth="1"/>
    <col min="5" max="5" width="7.1796875" style="10" bestFit="1" customWidth="1"/>
    <col min="6" max="6" width="9.1796875" style="10" bestFit="1" customWidth="1"/>
    <col min="7" max="7" width="16.81640625" style="10" bestFit="1" customWidth="1"/>
    <col min="8" max="8" width="52" style="10" bestFit="1" customWidth="1"/>
    <col min="9" max="9" width="7.08984375" style="10" bestFit="1" customWidth="1"/>
    <col min="10" max="10" width="40.453125" style="10" bestFit="1" customWidth="1"/>
    <col min="11" max="11" width="32.1796875" style="10" bestFit="1" customWidth="1"/>
    <col min="12" max="16384" width="8.81640625" style="10"/>
  </cols>
  <sheetData>
    <row r="1" spans="1:11" ht="36" x14ac:dyDescent="0.4">
      <c r="A1" s="9" t="s">
        <v>11</v>
      </c>
      <c r="B1" s="9" t="s">
        <v>12</v>
      </c>
      <c r="C1" s="9" t="s">
        <v>9</v>
      </c>
      <c r="D1" s="9" t="s">
        <v>234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">
      <c r="A2" s="7" t="s">
        <v>339</v>
      </c>
      <c r="B2" s="10" t="s">
        <v>340</v>
      </c>
      <c r="C2" s="10" t="s">
        <v>322</v>
      </c>
      <c r="D2" s="10" t="s">
        <v>20</v>
      </c>
      <c r="E2" s="10" t="s">
        <v>21</v>
      </c>
      <c r="F2" s="10" t="s">
        <v>63</v>
      </c>
      <c r="G2" s="10" t="s">
        <v>451</v>
      </c>
      <c r="H2" s="10">
        <v>1</v>
      </c>
      <c r="I2" s="10" t="s">
        <v>467</v>
      </c>
      <c r="J2" s="10" t="s">
        <v>31</v>
      </c>
      <c r="K2" s="10" t="s">
        <v>271</v>
      </c>
    </row>
    <row r="3" spans="1:11" x14ac:dyDescent="0.3">
      <c r="A3" s="7" t="s">
        <v>341</v>
      </c>
      <c r="B3" s="10" t="s">
        <v>342</v>
      </c>
      <c r="C3" s="10" t="s">
        <v>343</v>
      </c>
      <c r="D3" s="10" t="s">
        <v>67</v>
      </c>
      <c r="F3" s="10" t="s">
        <v>63</v>
      </c>
      <c r="G3" s="10" t="s">
        <v>54</v>
      </c>
      <c r="H3" s="10" t="s">
        <v>452</v>
      </c>
      <c r="I3" s="10">
        <v>1</v>
      </c>
      <c r="J3" s="10" t="s">
        <v>347</v>
      </c>
      <c r="K3" s="10" t="s">
        <v>352</v>
      </c>
    </row>
    <row r="4" spans="1:11" x14ac:dyDescent="0.3">
      <c r="A4" s="7" t="s">
        <v>344</v>
      </c>
      <c r="B4" s="10" t="s">
        <v>344</v>
      </c>
      <c r="C4" s="10" t="s">
        <v>350</v>
      </c>
      <c r="D4" s="10" t="s">
        <v>67</v>
      </c>
      <c r="F4" s="10" t="s">
        <v>68</v>
      </c>
      <c r="G4" s="10" t="s">
        <v>54</v>
      </c>
      <c r="H4" s="10" t="s">
        <v>464</v>
      </c>
      <c r="I4" s="10">
        <v>1</v>
      </c>
      <c r="J4" s="10" t="s">
        <v>348</v>
      </c>
      <c r="K4" s="10" t="s">
        <v>353</v>
      </c>
    </row>
    <row r="5" spans="1:11" x14ac:dyDescent="0.3">
      <c r="A5" s="7" t="s">
        <v>345</v>
      </c>
      <c r="B5" s="10" t="s">
        <v>346</v>
      </c>
      <c r="C5" s="10" t="s">
        <v>351</v>
      </c>
      <c r="D5" s="10" t="s">
        <v>67</v>
      </c>
      <c r="F5" s="10" t="s">
        <v>68</v>
      </c>
      <c r="G5" s="10" t="s">
        <v>54</v>
      </c>
      <c r="H5" s="10" t="s">
        <v>465</v>
      </c>
      <c r="I5" s="10">
        <v>1</v>
      </c>
      <c r="J5" s="10" t="s">
        <v>349</v>
      </c>
      <c r="K5" s="10" t="s">
        <v>354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"/>
  <sheetViews>
    <sheetView workbookViewId="0">
      <selection activeCell="A2" sqref="A2:A4"/>
    </sheetView>
  </sheetViews>
  <sheetFormatPr defaultColWidth="8.81640625" defaultRowHeight="14" x14ac:dyDescent="0.3"/>
  <cols>
    <col min="1" max="1" width="20.36328125" style="10" bestFit="1" customWidth="1"/>
    <col min="2" max="2" width="20.90625" style="10" bestFit="1" customWidth="1"/>
    <col min="3" max="3" width="42.1796875" style="10" bestFit="1" customWidth="1"/>
    <col min="4" max="4" width="14.1796875" style="10" bestFit="1" customWidth="1"/>
    <col min="5" max="5" width="7.1796875" style="10" bestFit="1" customWidth="1"/>
    <col min="6" max="6" width="9.1796875" style="10" bestFit="1" customWidth="1"/>
    <col min="7" max="7" width="17.453125" style="10" bestFit="1" customWidth="1"/>
    <col min="8" max="8" width="11.81640625" style="10" bestFit="1" customWidth="1"/>
    <col min="9" max="9" width="8.453125" style="10" bestFit="1" customWidth="1"/>
    <col min="10" max="10" width="25.36328125" style="10" bestFit="1" customWidth="1"/>
    <col min="11" max="11" width="36.90625" style="10" bestFit="1" customWidth="1"/>
    <col min="12" max="16384" width="8.81640625" style="10"/>
  </cols>
  <sheetData>
    <row r="1" spans="1:11" ht="36" x14ac:dyDescent="0.4">
      <c r="A1" s="9" t="s">
        <v>11</v>
      </c>
      <c r="B1" s="9" t="s">
        <v>12</v>
      </c>
      <c r="C1" s="9" t="s">
        <v>9</v>
      </c>
      <c r="D1" s="9" t="s">
        <v>234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">
      <c r="A2" s="10" t="s">
        <v>450</v>
      </c>
      <c r="B2" s="10" t="s">
        <v>450</v>
      </c>
      <c r="C2" s="10" t="s">
        <v>236</v>
      </c>
      <c r="D2" s="10" t="s">
        <v>20</v>
      </c>
      <c r="E2" s="10" t="s">
        <v>21</v>
      </c>
      <c r="F2" s="10" t="s">
        <v>63</v>
      </c>
      <c r="G2" s="10" t="s">
        <v>135</v>
      </c>
      <c r="H2" s="10">
        <v>201</v>
      </c>
      <c r="I2" s="10" t="s">
        <v>467</v>
      </c>
      <c r="J2" s="10" t="s">
        <v>31</v>
      </c>
      <c r="K2" s="10" t="s">
        <v>271</v>
      </c>
    </row>
    <row r="3" spans="1:11" x14ac:dyDescent="0.3">
      <c r="A3" s="10" t="s">
        <v>169</v>
      </c>
      <c r="B3" s="10" t="s">
        <v>170</v>
      </c>
      <c r="C3" s="10" t="s">
        <v>311</v>
      </c>
      <c r="D3" s="10" t="s">
        <v>312</v>
      </c>
      <c r="F3" s="10" t="s">
        <v>63</v>
      </c>
      <c r="G3" s="10" t="s">
        <v>54</v>
      </c>
      <c r="H3" s="10" t="s">
        <v>313</v>
      </c>
      <c r="I3" s="10">
        <v>1</v>
      </c>
      <c r="J3" s="10" t="s">
        <v>314</v>
      </c>
      <c r="K3" s="10" t="s">
        <v>315</v>
      </c>
    </row>
    <row r="4" spans="1:11" x14ac:dyDescent="0.3">
      <c r="A4" s="10" t="s">
        <v>316</v>
      </c>
      <c r="B4" s="10" t="s">
        <v>317</v>
      </c>
      <c r="C4" s="10" t="s">
        <v>318</v>
      </c>
      <c r="D4" s="10" t="s">
        <v>312</v>
      </c>
      <c r="F4" s="10" t="s">
        <v>63</v>
      </c>
      <c r="G4" s="10" t="s">
        <v>54</v>
      </c>
      <c r="H4" s="10" t="s">
        <v>319</v>
      </c>
      <c r="I4" s="10">
        <v>1</v>
      </c>
      <c r="J4" s="10" t="s">
        <v>320</v>
      </c>
      <c r="K4" s="10" t="s">
        <v>321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"/>
  <sheetViews>
    <sheetView topLeftCell="B1" workbookViewId="0">
      <selection activeCell="B2" sqref="B2:B4"/>
    </sheetView>
  </sheetViews>
  <sheetFormatPr defaultColWidth="8.81640625" defaultRowHeight="14" x14ac:dyDescent="0.3"/>
  <cols>
    <col min="1" max="1" width="26.453125" style="10" customWidth="1"/>
    <col min="2" max="2" width="21.1796875" style="10" bestFit="1" customWidth="1"/>
    <col min="3" max="3" width="52.81640625" style="10" bestFit="1" customWidth="1"/>
    <col min="4" max="4" width="15.36328125" style="10" bestFit="1" customWidth="1"/>
    <col min="5" max="5" width="8.81640625" style="10" customWidth="1"/>
    <col min="6" max="6" width="12.08984375" style="10" customWidth="1"/>
    <col min="7" max="7" width="19.08984375" style="10" bestFit="1" customWidth="1"/>
    <col min="8" max="8" width="22.453125" style="10" bestFit="1" customWidth="1"/>
    <col min="9" max="9" width="16.36328125" style="10" customWidth="1"/>
    <col min="10" max="10" width="23.81640625" style="10" customWidth="1"/>
    <col min="11" max="11" width="37.81640625" style="10" bestFit="1" customWidth="1"/>
    <col min="12" max="16384" width="8.81640625" style="10"/>
  </cols>
  <sheetData>
    <row r="1" spans="1:11" ht="18" x14ac:dyDescent="0.4">
      <c r="A1" s="9" t="s">
        <v>11</v>
      </c>
      <c r="B1" s="9" t="s">
        <v>12</v>
      </c>
      <c r="C1" s="9" t="s">
        <v>9</v>
      </c>
      <c r="D1" s="9" t="s">
        <v>234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">
      <c r="A2" s="7" t="s">
        <v>421</v>
      </c>
      <c r="B2" s="10" t="s">
        <v>421</v>
      </c>
      <c r="C2" s="10" t="s">
        <v>236</v>
      </c>
      <c r="D2" s="10" t="s">
        <v>20</v>
      </c>
      <c r="E2" s="10" t="s">
        <v>21</v>
      </c>
      <c r="F2" s="10" t="s">
        <v>63</v>
      </c>
      <c r="G2" s="10" t="s">
        <v>135</v>
      </c>
      <c r="H2" s="10">
        <v>101</v>
      </c>
      <c r="I2" s="10" t="s">
        <v>467</v>
      </c>
      <c r="J2" s="10" t="s">
        <v>31</v>
      </c>
      <c r="K2" s="10" t="s">
        <v>271</v>
      </c>
    </row>
    <row r="3" spans="1:11" x14ac:dyDescent="0.3">
      <c r="A3" s="7" t="s">
        <v>302</v>
      </c>
      <c r="B3" s="10" t="s">
        <v>302</v>
      </c>
      <c r="C3" s="10" t="s">
        <v>303</v>
      </c>
      <c r="D3" s="10" t="s">
        <v>67</v>
      </c>
      <c r="F3" s="10" t="s">
        <v>63</v>
      </c>
      <c r="G3" s="10" t="s">
        <v>54</v>
      </c>
      <c r="H3" s="10" t="s">
        <v>305</v>
      </c>
      <c r="I3" s="10">
        <v>1</v>
      </c>
      <c r="J3" s="10" t="s">
        <v>278</v>
      </c>
      <c r="K3" s="10" t="s">
        <v>335</v>
      </c>
    </row>
    <row r="4" spans="1:11" x14ac:dyDescent="0.3">
      <c r="A4" s="7" t="s">
        <v>9</v>
      </c>
      <c r="B4" s="10" t="s">
        <v>9</v>
      </c>
      <c r="C4" s="10" t="s">
        <v>306</v>
      </c>
      <c r="D4" s="10" t="s">
        <v>307</v>
      </c>
      <c r="F4" s="10" t="s">
        <v>68</v>
      </c>
      <c r="G4" s="10" t="s">
        <v>54</v>
      </c>
      <c r="H4" s="10" t="s">
        <v>308</v>
      </c>
      <c r="I4" s="10">
        <v>1</v>
      </c>
      <c r="J4" s="10" t="s">
        <v>309</v>
      </c>
      <c r="K4" s="10" t="s">
        <v>310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"/>
  <sheetViews>
    <sheetView workbookViewId="0">
      <selection activeCell="A2" sqref="A2"/>
    </sheetView>
  </sheetViews>
  <sheetFormatPr defaultColWidth="8.81640625" defaultRowHeight="14" x14ac:dyDescent="0.3"/>
  <cols>
    <col min="1" max="1" width="19.453125" style="10" bestFit="1" customWidth="1"/>
    <col min="2" max="2" width="20.90625" style="10" bestFit="1" customWidth="1"/>
    <col min="3" max="3" width="15.90625" style="10" bestFit="1" customWidth="1"/>
    <col min="4" max="4" width="13.1796875" style="10" bestFit="1" customWidth="1"/>
    <col min="5" max="5" width="9.453125" style="10" customWidth="1"/>
    <col min="6" max="6" width="14.36328125" style="10" customWidth="1"/>
    <col min="7" max="7" width="14.1796875" style="10" bestFit="1" customWidth="1"/>
    <col min="8" max="8" width="42.90625" style="10" bestFit="1" customWidth="1"/>
    <col min="9" max="9" width="8.81640625" style="10"/>
    <col min="10" max="10" width="13.453125" style="10" bestFit="1" customWidth="1"/>
    <col min="11" max="11" width="29.453125" style="10" bestFit="1" customWidth="1"/>
    <col min="12" max="16384" width="8.81640625" style="10"/>
  </cols>
  <sheetData>
    <row r="1" spans="1:11" ht="36" x14ac:dyDescent="0.4">
      <c r="A1" s="9" t="s">
        <v>11</v>
      </c>
      <c r="B1" s="9" t="s">
        <v>12</v>
      </c>
      <c r="C1" s="9" t="s">
        <v>9</v>
      </c>
      <c r="D1" s="9" t="s">
        <v>234</v>
      </c>
      <c r="E1" s="9" t="s">
        <v>61</v>
      </c>
      <c r="F1" s="9" t="s">
        <v>62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</row>
    <row r="2" spans="1:11" x14ac:dyDescent="0.3">
      <c r="A2" s="7" t="s">
        <v>393</v>
      </c>
      <c r="B2" s="10" t="s">
        <v>331</v>
      </c>
      <c r="C2" s="10" t="s">
        <v>322</v>
      </c>
      <c r="D2" s="10" t="s">
        <v>20</v>
      </c>
      <c r="E2" s="10" t="s">
        <v>21</v>
      </c>
      <c r="F2" s="10" t="s">
        <v>63</v>
      </c>
      <c r="G2" s="10" t="s">
        <v>451</v>
      </c>
      <c r="H2" s="10" t="s">
        <v>324</v>
      </c>
      <c r="I2" s="10" t="s">
        <v>467</v>
      </c>
      <c r="J2" s="10" t="s">
        <v>31</v>
      </c>
      <c r="K2" s="10" t="s">
        <v>325</v>
      </c>
    </row>
    <row r="3" spans="1:11" x14ac:dyDescent="0.3">
      <c r="A3" s="7" t="s">
        <v>171</v>
      </c>
      <c r="B3" s="10" t="s">
        <v>332</v>
      </c>
      <c r="C3" s="10" t="s">
        <v>326</v>
      </c>
      <c r="D3" s="10" t="s">
        <v>312</v>
      </c>
      <c r="F3" s="10" t="s">
        <v>63</v>
      </c>
      <c r="G3" s="10" t="s">
        <v>54</v>
      </c>
      <c r="H3" s="10" t="s">
        <v>327</v>
      </c>
      <c r="I3" s="10">
        <v>1</v>
      </c>
      <c r="J3" s="10" t="s">
        <v>278</v>
      </c>
      <c r="K3" s="10" t="s">
        <v>333</v>
      </c>
    </row>
    <row r="4" spans="1:11" x14ac:dyDescent="0.3">
      <c r="A4" s="7" t="s">
        <v>328</v>
      </c>
      <c r="B4" s="10" t="s">
        <v>328</v>
      </c>
      <c r="C4" s="10" t="s">
        <v>329</v>
      </c>
      <c r="D4" s="10" t="s">
        <v>304</v>
      </c>
      <c r="F4" s="10" t="s">
        <v>68</v>
      </c>
      <c r="G4" s="10" t="s">
        <v>54</v>
      </c>
      <c r="H4" s="10" t="s">
        <v>330</v>
      </c>
      <c r="I4" s="10">
        <v>1</v>
      </c>
      <c r="J4" s="10" t="s">
        <v>278</v>
      </c>
      <c r="K4" s="10" t="s">
        <v>334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3"/>
  <sheetViews>
    <sheetView workbookViewId="0">
      <selection activeCell="A21" sqref="A21"/>
    </sheetView>
  </sheetViews>
  <sheetFormatPr defaultRowHeight="14.5" x14ac:dyDescent="0.35"/>
  <cols>
    <col min="1" max="1" width="49.90625" bestFit="1" customWidth="1"/>
  </cols>
  <sheetData>
    <row r="1" spans="1:1" x14ac:dyDescent="0.35">
      <c r="A1" t="s">
        <v>407</v>
      </c>
    </row>
    <row r="2" spans="1:1" x14ac:dyDescent="0.35">
      <c r="A2" t="s">
        <v>408</v>
      </c>
    </row>
    <row r="3" spans="1:1" x14ac:dyDescent="0.35">
      <c r="A3" t="s">
        <v>409</v>
      </c>
    </row>
    <row r="4" spans="1:1" x14ac:dyDescent="0.35">
      <c r="A4" t="s">
        <v>410</v>
      </c>
    </row>
    <row r="6" spans="1:1" x14ac:dyDescent="0.35">
      <c r="A6" t="s">
        <v>411</v>
      </c>
    </row>
    <row r="7" spans="1:1" x14ac:dyDescent="0.35">
      <c r="A7" t="s">
        <v>418</v>
      </c>
    </row>
    <row r="11" spans="1:1" x14ac:dyDescent="0.35">
      <c r="A11" t="s">
        <v>412</v>
      </c>
    </row>
    <row r="12" spans="1:1" x14ac:dyDescent="0.35">
      <c r="A12" t="s">
        <v>413</v>
      </c>
    </row>
    <row r="13" spans="1:1" x14ac:dyDescent="0.35">
      <c r="A13" t="s">
        <v>414</v>
      </c>
    </row>
    <row r="14" spans="1:1" x14ac:dyDescent="0.35">
      <c r="A14" t="s">
        <v>415</v>
      </c>
    </row>
    <row r="15" spans="1:1" x14ac:dyDescent="0.35">
      <c r="A15" t="s">
        <v>416</v>
      </c>
    </row>
    <row r="17" spans="1:1" x14ac:dyDescent="0.35">
      <c r="A17" t="s">
        <v>417</v>
      </c>
    </row>
    <row r="18" spans="1:1" x14ac:dyDescent="0.35">
      <c r="A18" t="s">
        <v>202</v>
      </c>
    </row>
    <row r="19" spans="1:1" x14ac:dyDescent="0.35">
      <c r="A19" t="s">
        <v>206</v>
      </c>
    </row>
    <row r="20" spans="1:1" x14ac:dyDescent="0.35">
      <c r="A20" t="s">
        <v>419</v>
      </c>
    </row>
    <row r="23" spans="1:1" x14ac:dyDescent="0.35">
      <c r="A23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Bus Matrix</vt:lpstr>
      <vt:lpstr>All Dims Info</vt:lpstr>
      <vt:lpstr>Snowflake Dimensions</vt:lpstr>
      <vt:lpstr>Fact_Incident</vt:lpstr>
      <vt:lpstr>Fact_FinancialTransaction</vt:lpstr>
      <vt:lpstr>Fact_HotlineResponse</vt:lpstr>
      <vt:lpstr>Fact_Intervention</vt:lpstr>
      <vt:lpstr>DimCase</vt:lpstr>
      <vt:lpstr>DimTransaction</vt:lpstr>
      <vt:lpstr>DimVictim</vt:lpstr>
      <vt:lpstr>DimTrafficker</vt:lpstr>
      <vt:lpstr>DimLocation</vt:lpstr>
      <vt:lpstr>DimOperation</vt:lpstr>
      <vt:lpstr>DimHotLine</vt:lpstr>
      <vt:lpstr>DimDateTime</vt:lpstr>
      <vt:lpstr>DimAgency</vt:lpstr>
      <vt:lpstr>DimTransportationType</vt:lpstr>
      <vt:lpstr>DimRecruitmentType</vt:lpstr>
      <vt:lpstr>DimExploitationType</vt:lpstr>
      <vt:lpstr>R&amp;D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anas</dc:creator>
  <cp:lastModifiedBy>Anas</cp:lastModifiedBy>
  <dcterms:created xsi:type="dcterms:W3CDTF">2025-06-02T12:25:49Z</dcterms:created>
  <dcterms:modified xsi:type="dcterms:W3CDTF">2025-09-15T15:20:46Z</dcterms:modified>
</cp:coreProperties>
</file>